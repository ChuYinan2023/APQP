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失项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7F7F"/>
        <bgColor rgb="00FF7F7F"/>
      </patternFill>
    </fill>
    <fill>
      <patternFill patternType="solid">
        <fgColor rgb="00FFC000"/>
        <bgColor rgb="00FFC000"/>
      </patternFill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8" customWidth="1" min="4" max="4"/>
    <col width="12" customWidth="1" min="5" max="5"/>
    <col width="30" customWidth="1" min="6" max="6"/>
    <col width="10" customWidth="1" min="7" max="7"/>
  </cols>
  <sheetData>
    <row r="1" ht="30" customHeight="1">
      <c r="A1" s="1" t="inlineStr">
        <is>
          <t>序号</t>
        </is>
      </c>
      <c r="B1" s="1" t="inlineStr">
        <is>
          <t>缺失文档</t>
        </is>
      </c>
      <c r="C1" s="1" t="inlineStr">
        <is>
          <t>引用来源</t>
        </is>
      </c>
      <c r="D1" s="1" t="inlineStr">
        <is>
          <t>紧急度</t>
        </is>
      </c>
      <c r="E1" s="1" t="inlineStr">
        <is>
          <t>来源方</t>
        </is>
      </c>
      <c r="F1" s="1" t="inlineStr">
        <is>
          <t>影响范围</t>
        </is>
      </c>
      <c r="G1" s="1" t="inlineStr">
        <is>
          <t>处理状态</t>
        </is>
      </c>
    </row>
    <row r="2">
      <c r="A2" s="2" t="n">
        <v>1</v>
      </c>
      <c r="B2" s="2" t="inlineStr">
        <is>
          <t>3D CAD 模型（UG/Teamcenter格式）</t>
        </is>
      </c>
      <c r="C2" s="2" t="inlineStr">
        <is>
          <t>TDR交付物要求 TDR#4, CTS §图纸要求</t>
        </is>
      </c>
      <c r="D2" s="2" t="inlineStr">
        <is>
          <t>最高</t>
        </is>
      </c>
      <c r="E2" s="2" t="inlineStr">
        <is>
          <t>内部收集</t>
        </is>
      </c>
      <c r="F2" s="2" t="inlineStr">
        <is>
          <t>无法完成TDR#4 3D模型交付，无法验证接口尺寸</t>
        </is>
      </c>
      <c r="G2" s="2" t="inlineStr">
        <is>
          <t>未发起</t>
        </is>
      </c>
    </row>
    <row r="3">
      <c r="A3" s="2" t="n">
        <v>2</v>
      </c>
      <c r="B3" s="2" t="inlineStr">
        <is>
          <t>2D 工程图纸（燃油管路总成）</t>
        </is>
      </c>
      <c r="C3" s="2" t="inlineStr">
        <is>
          <t>CTS §图纸引用, PF.90197 Annex A</t>
        </is>
      </c>
      <c r="D3" s="2" t="inlineStr">
        <is>
          <t>最高</t>
        </is>
      </c>
      <c r="E3" s="2" t="inlineStr">
        <is>
          <t>向客户要</t>
        </is>
      </c>
      <c r="F3" s="2" t="inlineStr">
        <is>
          <t>无法确认关键尺寸公差、装配接口、材料标注</t>
        </is>
      </c>
      <c r="G3" s="2" t="inlineStr">
        <is>
          <t>未发起</t>
        </is>
      </c>
    </row>
    <row r="4">
      <c r="A4" s="2" t="n">
        <v>3</v>
      </c>
      <c r="B4" s="2" t="inlineStr">
        <is>
          <t>阻尼器（Damper）详细图纸/规格</t>
        </is>
      </c>
      <c r="C4" s="2" t="inlineStr">
        <is>
          <t>PF.90197 §5.7 Damper测试, CTS BOM</t>
        </is>
      </c>
      <c r="D4" s="2" t="inlineStr">
        <is>
          <t>最高</t>
        </is>
      </c>
      <c r="E4" s="2" t="inlineStr">
        <is>
          <t>向客户要</t>
        </is>
      </c>
      <c r="F4" s="2" t="inlineStr">
        <is>
          <t>阻尼器为BOM核心件，无图纸无法报价和测试</t>
        </is>
      </c>
      <c r="G4" s="2" t="inlineStr">
        <is>
          <t>未发起</t>
        </is>
      </c>
    </row>
    <row r="5">
      <c r="A5" s="3" t="n">
        <v>4</v>
      </c>
      <c r="B5" s="3" t="inlineStr">
        <is>
          <t>07740 — Stellantis标准件规范</t>
        </is>
      </c>
      <c r="C5" s="3" t="inlineStr">
        <is>
          <t>PF.90197 §1 Scope</t>
        </is>
      </c>
      <c r="D5" s="3" t="inlineStr">
        <is>
          <t>高</t>
        </is>
      </c>
      <c r="E5" s="3" t="inlineStr">
        <is>
          <t>向客户要</t>
        </is>
      </c>
      <c r="F5" s="3" t="inlineStr">
        <is>
          <t>燃油管路标准件选型依据缺失</t>
        </is>
      </c>
      <c r="G5" s="3" t="inlineStr">
        <is>
          <t>未发起</t>
        </is>
      </c>
    </row>
    <row r="6">
      <c r="A6" s="3" t="n">
        <v>5</v>
      </c>
      <c r="B6" s="3" t="inlineStr">
        <is>
          <t>QR.00001 — 材料与过程认可程序</t>
        </is>
      </c>
      <c r="C6" s="3" t="inlineStr">
        <is>
          <t>PF.90197 §3.1 Material Approval</t>
        </is>
      </c>
      <c r="D6" s="3" t="inlineStr">
        <is>
          <t>高</t>
        </is>
      </c>
      <c r="E6" s="3" t="inlineStr">
        <is>
          <t>向客户要</t>
        </is>
      </c>
      <c r="F6" s="3" t="inlineStr">
        <is>
          <t>材料认可流程不明，影响供应商选择</t>
        </is>
      </c>
      <c r="G6" s="3" t="inlineStr">
        <is>
          <t>未发起</t>
        </is>
      </c>
    </row>
    <row r="7">
      <c r="A7" s="3" t="n">
        <v>6</v>
      </c>
      <c r="B7" s="3" t="inlineStr">
        <is>
          <t>SAE J2044 — Quick Connect接头标准</t>
        </is>
      </c>
      <c r="C7" s="3" t="inlineStr">
        <is>
          <t>PF.90197 §5.1, PF.90298 §1 Scope</t>
        </is>
      </c>
      <c r="D7" s="3" t="inlineStr">
        <is>
          <t>高</t>
        </is>
      </c>
      <c r="E7" s="3" t="inlineStr">
        <is>
          <t>自行购买</t>
        </is>
      </c>
      <c r="F7" s="3" t="inlineStr">
        <is>
          <t>快接接头设计和测试标准缺失</t>
        </is>
      </c>
      <c r="G7" s="3" t="inlineStr">
        <is>
          <t>未发起</t>
        </is>
      </c>
    </row>
    <row r="8">
      <c r="A8" s="3" t="n">
        <v>7</v>
      </c>
      <c r="B8" s="3" t="inlineStr">
        <is>
          <t>SAE J2045 — Quick Connect性能标准</t>
        </is>
      </c>
      <c r="C8" s="3" t="inlineStr">
        <is>
          <t>PF.90298 §1 Scope, §5 Tests</t>
        </is>
      </c>
      <c r="D8" s="3" t="inlineStr">
        <is>
          <t>高</t>
        </is>
      </c>
      <c r="E8" s="3" t="inlineStr">
        <is>
          <t>自行购买</t>
        </is>
      </c>
      <c r="F8" s="3" t="inlineStr">
        <is>
          <t>快接接头性能验收标准缺失</t>
        </is>
      </c>
      <c r="G8" s="3" t="inlineStr">
        <is>
          <t>未发起</t>
        </is>
      </c>
    </row>
    <row r="9">
      <c r="A9" s="3" t="n">
        <v>8</v>
      </c>
      <c r="B9" s="3" t="inlineStr">
        <is>
          <t>SAE J2260 — Non-metallic Fuel Line标准</t>
        </is>
      </c>
      <c r="C9" s="3" t="inlineStr">
        <is>
          <t>PF.90197 §1 Scope, §5.3 Permeation</t>
        </is>
      </c>
      <c r="D9" s="3" t="inlineStr">
        <is>
          <t>高</t>
        </is>
      </c>
      <c r="E9" s="3" t="inlineStr">
        <is>
          <t>自行购买</t>
        </is>
      </c>
      <c r="F9" s="3" t="inlineStr">
        <is>
          <t>非金属管材渗透性测试标准缺失</t>
        </is>
      </c>
      <c r="G9" s="3" t="inlineStr">
        <is>
          <t>未发起</t>
        </is>
      </c>
    </row>
    <row r="10">
      <c r="A10" s="3" t="n">
        <v>9</v>
      </c>
      <c r="B10" s="3" t="inlineStr">
        <is>
          <t>PRO.00004 — Stellantis过程认可程序</t>
        </is>
      </c>
      <c r="C10" s="3" t="inlineStr">
        <is>
          <t>PF.90197 §3.1</t>
        </is>
      </c>
      <c r="D10" s="3" t="inlineStr">
        <is>
          <t>高</t>
        </is>
      </c>
      <c r="E10" s="3" t="inlineStr">
        <is>
          <t>向客户要</t>
        </is>
      </c>
      <c r="F10" s="3" t="inlineStr">
        <is>
          <t>过程认可要求不明</t>
        </is>
      </c>
      <c r="G10" s="3" t="inlineStr">
        <is>
          <t>未发起</t>
        </is>
      </c>
    </row>
    <row r="11">
      <c r="A11" s="3" t="n">
        <v>10</v>
      </c>
      <c r="B11" s="3" t="inlineStr">
        <is>
          <t>PPAP等级确认（客户明确）</t>
        </is>
      </c>
      <c r="C11" s="3" t="inlineStr">
        <is>
          <t>SSTS Deliverables, TDR交付物要求</t>
        </is>
      </c>
      <c r="D11" s="3" t="inlineStr">
        <is>
          <t>高</t>
        </is>
      </c>
      <c r="E11" s="3" t="inlineStr">
        <is>
          <t>向客户要</t>
        </is>
      </c>
      <c r="F11" s="3" t="inlineStr">
        <is>
          <t>不确定PPAP提交等级，影响样件和文件准备</t>
        </is>
      </c>
      <c r="G11" s="3" t="inlineStr">
        <is>
          <t>未发起</t>
        </is>
      </c>
    </row>
    <row r="12">
      <c r="A12" s="3" t="n">
        <v>11</v>
      </c>
      <c r="B12" s="3" t="inlineStr">
        <is>
          <t>CS.00251 — Stellantis清洁度规范</t>
        </is>
      </c>
      <c r="C12" s="3" t="inlineStr">
        <is>
          <t>PF.90197 §5.11 Cleanliness</t>
        </is>
      </c>
      <c r="D12" s="3" t="inlineStr">
        <is>
          <t>高</t>
        </is>
      </c>
      <c r="E12" s="3" t="inlineStr">
        <is>
          <t>向客户要</t>
        </is>
      </c>
      <c r="F12" s="3" t="inlineStr">
        <is>
          <t>清洁度验收标准缺失，影响产线规划</t>
        </is>
      </c>
      <c r="G12" s="3" t="inlineStr">
        <is>
          <t>未发起</t>
        </is>
      </c>
    </row>
    <row r="13">
      <c r="A13" s="3" t="n">
        <v>12</v>
      </c>
      <c r="B13" s="3" t="inlineStr">
        <is>
          <t>SD-11597 — 发动机罩下温度场规范</t>
        </is>
      </c>
      <c r="C13" s="3" t="inlineStr">
        <is>
          <t>PF.90197 §5.4 Thermal</t>
        </is>
      </c>
      <c r="D13" s="3" t="inlineStr">
        <is>
          <t>高</t>
        </is>
      </c>
      <c r="E13" s="3" t="inlineStr">
        <is>
          <t>向客户要</t>
        </is>
      </c>
      <c r="F13" s="3" t="inlineStr">
        <is>
          <t>热环境温度分布数据缺失，影响耐热设计</t>
        </is>
      </c>
      <c r="G13" s="3" t="inlineStr">
        <is>
          <t>未发起</t>
        </is>
      </c>
    </row>
    <row r="14">
      <c r="A14" s="3" t="n">
        <v>13</v>
      </c>
      <c r="B14" s="3" t="inlineStr">
        <is>
          <t>CD.80064 — Stellantis耐久测试标准</t>
        </is>
      </c>
      <c r="C14" s="3" t="inlineStr">
        <is>
          <t>PF.90197 §5.6 Durability</t>
        </is>
      </c>
      <c r="D14" s="3" t="inlineStr">
        <is>
          <t>高</t>
        </is>
      </c>
      <c r="E14" s="3" t="inlineStr">
        <is>
          <t>向客户要</t>
        </is>
      </c>
      <c r="F14" s="3" t="inlineStr">
        <is>
          <t>耐久测试振动谱/循环数缺失</t>
        </is>
      </c>
      <c r="G14" s="3" t="inlineStr">
        <is>
          <t>未发起</t>
        </is>
      </c>
    </row>
    <row r="15">
      <c r="A15" s="4" t="n">
        <v>14</v>
      </c>
      <c r="B15" s="4" t="inlineStr">
        <is>
          <t>SAE J2334 — 循环腐蚀测试方法</t>
        </is>
      </c>
      <c r="C15" s="4" t="inlineStr">
        <is>
          <t>PF.90197 §5.5 Corrosion</t>
        </is>
      </c>
      <c r="D15" s="4" t="inlineStr">
        <is>
          <t>中</t>
        </is>
      </c>
      <c r="E15" s="4" t="inlineStr">
        <is>
          <t>自行购买</t>
        </is>
      </c>
      <c r="F15" s="4" t="inlineStr">
        <is>
          <t>腐蚀测试方法参考</t>
        </is>
      </c>
      <c r="G15" s="4" t="inlineStr">
        <is>
          <t>未发起</t>
        </is>
      </c>
    </row>
    <row r="16">
      <c r="A16" s="4" t="n">
        <v>15</v>
      </c>
      <c r="B16" s="4" t="inlineStr">
        <is>
          <t>SAE J400 — 碎石冲击测试</t>
        </is>
      </c>
      <c r="C16" s="4" t="inlineStr">
        <is>
          <t>PF.90197 §5.5.2 Chipping</t>
        </is>
      </c>
      <c r="D16" s="4" t="inlineStr">
        <is>
          <t>中</t>
        </is>
      </c>
      <c r="E16" s="4" t="inlineStr">
        <is>
          <t>自行购买</t>
        </is>
      </c>
      <c r="F16" s="4" t="inlineStr">
        <is>
          <t>碎石冲击测试参数</t>
        </is>
      </c>
      <c r="G16" s="4" t="inlineStr">
        <is>
          <t>未发起</t>
        </is>
      </c>
    </row>
    <row r="17">
      <c r="A17" s="4" t="n">
        <v>16</v>
      </c>
      <c r="B17" s="4" t="inlineStr">
        <is>
          <t>SAE J1645 — 燃油管总成渗透测试</t>
        </is>
      </c>
      <c r="C17" s="4" t="inlineStr">
        <is>
          <t>PF.90197 §5.3 Permeation</t>
        </is>
      </c>
      <c r="D17" s="4" t="inlineStr">
        <is>
          <t>中</t>
        </is>
      </c>
      <c r="E17" s="4" t="inlineStr">
        <is>
          <t>自行购买</t>
        </is>
      </c>
      <c r="F17" s="4" t="inlineStr">
        <is>
          <t>渗透测试详细方法</t>
        </is>
      </c>
      <c r="G17" s="4" t="inlineStr">
        <is>
          <t>未发起</t>
        </is>
      </c>
    </row>
    <row r="18">
      <c r="A18" s="4" t="n">
        <v>17</v>
      </c>
      <c r="B18" s="4" t="inlineStr">
        <is>
          <t>DIN 51604 — 参考燃油规范</t>
        </is>
      </c>
      <c r="C18" s="4" t="inlineStr">
        <is>
          <t>PF.90197 §4.2 Test Fluids</t>
        </is>
      </c>
      <c r="D18" s="4" t="inlineStr">
        <is>
          <t>中</t>
        </is>
      </c>
      <c r="E18" s="4" t="inlineStr">
        <is>
          <t>自行购买</t>
        </is>
      </c>
      <c r="F18" s="4" t="inlineStr">
        <is>
          <t>测试用燃油配方</t>
        </is>
      </c>
      <c r="G18" s="4" t="inlineStr">
        <is>
          <t>未发起</t>
        </is>
      </c>
    </row>
    <row r="19">
      <c r="A19" s="4" t="n">
        <v>18</v>
      </c>
      <c r="B19" s="4" t="inlineStr">
        <is>
          <t>EN ISO 527-2 — 塑料拉伸测试</t>
        </is>
      </c>
      <c r="C19" s="4" t="inlineStr">
        <is>
          <t>PF.90197 §5.2 Mechanical</t>
        </is>
      </c>
      <c r="D19" s="4" t="inlineStr">
        <is>
          <t>中</t>
        </is>
      </c>
      <c r="E19" s="4" t="inlineStr">
        <is>
          <t>自行购买</t>
        </is>
      </c>
      <c r="F19" s="4" t="inlineStr">
        <is>
          <t>管材拉伸测试方法</t>
        </is>
      </c>
      <c r="G19" s="4" t="inlineStr">
        <is>
          <t>未发起</t>
        </is>
      </c>
    </row>
    <row r="20">
      <c r="A20" s="4" t="n">
        <v>19</v>
      </c>
      <c r="B20" s="4" t="inlineStr">
        <is>
          <t>DIN 53504 — 橡胶拉伸测试</t>
        </is>
      </c>
      <c r="C20" s="4" t="inlineStr">
        <is>
          <t>PF.90197 §5.2 Mechanical</t>
        </is>
      </c>
      <c r="D20" s="4" t="inlineStr">
        <is>
          <t>中</t>
        </is>
      </c>
      <c r="E20" s="4" t="inlineStr">
        <is>
          <t>自行购买</t>
        </is>
      </c>
      <c r="F20" s="4" t="inlineStr">
        <is>
          <t>橡胶件拉伸测试方法</t>
        </is>
      </c>
      <c r="G20" s="4" t="inlineStr">
        <is>
          <t>未发起</t>
        </is>
      </c>
    </row>
    <row r="21">
      <c r="A21" s="4" t="n">
        <v>20</v>
      </c>
      <c r="B21" s="4" t="inlineStr">
        <is>
          <t>EN 14214 — 生物柴油规范</t>
        </is>
      </c>
      <c r="C21" s="4" t="inlineStr">
        <is>
          <t>PF.90197 §4.2 Test Fluids</t>
        </is>
      </c>
      <c r="D21" s="4" t="inlineStr">
        <is>
          <t>中</t>
        </is>
      </c>
      <c r="E21" s="4" t="inlineStr">
        <is>
          <t>自行购买</t>
        </is>
      </c>
      <c r="F21" s="4" t="inlineStr">
        <is>
          <t>生物柴油兼容性测试</t>
        </is>
      </c>
      <c r="G21" s="4" t="inlineStr">
        <is>
          <t>未发起</t>
        </is>
      </c>
    </row>
    <row r="22">
      <c r="A22" s="4" t="n">
        <v>21</v>
      </c>
      <c r="B22" s="4" t="inlineStr">
        <is>
          <t>LP.7A004 — Stellantis实验室测试程序</t>
        </is>
      </c>
      <c r="C22" s="4" t="inlineStr">
        <is>
          <t>PF.90197 §5.4 Thermal Aging</t>
        </is>
      </c>
      <c r="D22" s="4" t="inlineStr">
        <is>
          <t>中</t>
        </is>
      </c>
      <c r="E22" s="4" t="inlineStr">
        <is>
          <t>向客户要</t>
        </is>
      </c>
      <c r="F22" s="4" t="inlineStr">
        <is>
          <t>热老化测试详细程序</t>
        </is>
      </c>
      <c r="G22" s="4" t="inlineStr">
        <is>
          <t>未发起</t>
        </is>
      </c>
    </row>
    <row r="23">
      <c r="A23" s="4" t="n">
        <v>22</v>
      </c>
      <c r="B23" s="4" t="inlineStr">
        <is>
          <t>LP.7A005 — Stellantis实验室测试程序</t>
        </is>
      </c>
      <c r="C23" s="4" t="inlineStr">
        <is>
          <t>PF.90197 §5.5 Corrosion</t>
        </is>
      </c>
      <c r="D23" s="4" t="inlineStr">
        <is>
          <t>中</t>
        </is>
      </c>
      <c r="E23" s="4" t="inlineStr">
        <is>
          <t>向客户要</t>
        </is>
      </c>
      <c r="F23" s="4" t="inlineStr">
        <is>
          <t>腐蚀测试详细程序</t>
        </is>
      </c>
      <c r="G23" s="4" t="inlineStr">
        <is>
          <t>未发起</t>
        </is>
      </c>
    </row>
    <row r="24">
      <c r="A24" s="4" t="n">
        <v>23</v>
      </c>
      <c r="B24" s="4" t="inlineStr">
        <is>
          <t>PS.50005 / PS.50006 — 橡胶材料规范</t>
        </is>
      </c>
      <c r="C24" s="4" t="inlineStr">
        <is>
          <t>PF.90197 §4.1 Materials</t>
        </is>
      </c>
      <c r="D24" s="4" t="inlineStr">
        <is>
          <t>中</t>
        </is>
      </c>
      <c r="E24" s="4" t="inlineStr">
        <is>
          <t>向客户要</t>
        </is>
      </c>
      <c r="F24" s="4" t="inlineStr">
        <is>
          <t>橡胶材料牌号及性能要求</t>
        </is>
      </c>
      <c r="G24" s="4" t="inlineStr">
        <is>
          <t>未发起</t>
        </is>
      </c>
    </row>
    <row r="25">
      <c r="A25" s="4" t="n">
        <v>24</v>
      </c>
      <c r="B25" s="4" t="inlineStr">
        <is>
          <t>PS-8688 — 管材材料规范</t>
        </is>
      </c>
      <c r="C25" s="4" t="inlineStr">
        <is>
          <t>PF.90197 §4.1 Materials</t>
        </is>
      </c>
      <c r="D25" s="4" t="inlineStr">
        <is>
          <t>中</t>
        </is>
      </c>
      <c r="E25" s="4" t="inlineStr">
        <is>
          <t>向客户要</t>
        </is>
      </c>
      <c r="F25" s="4" t="inlineStr">
        <is>
          <t>管材材料规范</t>
        </is>
      </c>
      <c r="G25" s="4" t="inlineStr">
        <is>
          <t>未发起</t>
        </is>
      </c>
    </row>
    <row r="26">
      <c r="A26" s="4" t="n">
        <v>25</v>
      </c>
      <c r="B26" s="4" t="inlineStr">
        <is>
          <t>9.02145/02 — Stellantis内部标准</t>
        </is>
      </c>
      <c r="C26" s="4" t="inlineStr">
        <is>
          <t>PF.90197 §5.8 Fire</t>
        </is>
      </c>
      <c r="D26" s="4" t="inlineStr">
        <is>
          <t>中</t>
        </is>
      </c>
      <c r="E26" s="4" t="inlineStr">
        <is>
          <t>向客户要</t>
        </is>
      </c>
      <c r="F26" s="4" t="inlineStr">
        <is>
          <t>防火测试程序</t>
        </is>
      </c>
      <c r="G26" s="4" t="inlineStr">
        <is>
          <t>未发起</t>
        </is>
      </c>
    </row>
    <row r="27">
      <c r="A27" s="4" t="n">
        <v>26</v>
      </c>
      <c r="B27" s="4" t="inlineStr">
        <is>
          <t>QR-10012 — 质量报告模板</t>
        </is>
      </c>
      <c r="C27" s="4" t="inlineStr">
        <is>
          <t>PF.90197 §6 Quality</t>
        </is>
      </c>
      <c r="D27" s="4" t="inlineStr">
        <is>
          <t>中</t>
        </is>
      </c>
      <c r="E27" s="4" t="inlineStr">
        <is>
          <t>向客户要</t>
        </is>
      </c>
      <c r="F27" s="4" t="inlineStr">
        <is>
          <t>质量报告格式要求</t>
        </is>
      </c>
      <c r="G27" s="4" t="inlineStr">
        <is>
          <t>未发起</t>
        </is>
      </c>
    </row>
    <row r="28">
      <c r="A28" s="4" t="n">
        <v>27</v>
      </c>
      <c r="B28" s="4" t="inlineStr">
        <is>
          <t>7.G0200 — 包装物流规范</t>
        </is>
      </c>
      <c r="C28" s="4" t="inlineStr">
        <is>
          <t>SSTS Deliverables</t>
        </is>
      </c>
      <c r="D28" s="4" t="inlineStr">
        <is>
          <t>中</t>
        </is>
      </c>
      <c r="E28" s="4" t="inlineStr">
        <is>
          <t>向客户要</t>
        </is>
      </c>
      <c r="F28" s="4" t="inlineStr">
        <is>
          <t>包装和物流要求</t>
        </is>
      </c>
      <c r="G28" s="4" t="inlineStr">
        <is>
          <t>未发起</t>
        </is>
      </c>
    </row>
    <row r="29">
      <c r="A29" s="4" t="n">
        <v>28</v>
      </c>
      <c r="B29" s="4" t="inlineStr">
        <is>
          <t>CS-9003 — 供应商质量手册</t>
        </is>
      </c>
      <c r="C29" s="4" t="inlineStr">
        <is>
          <t>PF.90197 §6 Quality</t>
        </is>
      </c>
      <c r="D29" s="4" t="inlineStr">
        <is>
          <t>中</t>
        </is>
      </c>
      <c r="E29" s="4" t="inlineStr">
        <is>
          <t>向客户要</t>
        </is>
      </c>
      <c r="F29" s="4" t="inlineStr">
        <is>
          <t>供应商质量管理要求</t>
        </is>
      </c>
      <c r="G29" s="4" t="inlineStr">
        <is>
          <t>未发起</t>
        </is>
      </c>
    </row>
    <row r="30">
      <c r="A30" s="4" t="n">
        <v>29</v>
      </c>
      <c r="B30" s="4" t="inlineStr">
        <is>
          <t>MS.50017 / MS.50015 — 金属材料规范</t>
        </is>
      </c>
      <c r="C30" s="4" t="inlineStr">
        <is>
          <t>PF.90197 §4.1 Materials</t>
        </is>
      </c>
      <c r="D30" s="4" t="inlineStr">
        <is>
          <t>中</t>
        </is>
      </c>
      <c r="E30" s="4" t="inlineStr">
        <is>
          <t>向客户要</t>
        </is>
      </c>
      <c r="F30" s="4" t="inlineStr">
        <is>
          <t>金属接头材料性能要求</t>
        </is>
      </c>
      <c r="G30" s="4" t="inlineStr">
        <is>
          <t>未发起</t>
        </is>
      </c>
    </row>
    <row r="31">
      <c r="A31" s="4" t="n">
        <v>30</v>
      </c>
      <c r="B31" s="4" t="inlineStr">
        <is>
          <t>FMVSS 301 — 联邦燃油系统安全标准</t>
        </is>
      </c>
      <c r="C31" s="4" t="inlineStr">
        <is>
          <t>PF.90197 §5.8 Fire/Safety</t>
        </is>
      </c>
      <c r="D31" s="4" t="inlineStr">
        <is>
          <t>中</t>
        </is>
      </c>
      <c r="E31" s="4" t="inlineStr">
        <is>
          <t>自行购买</t>
        </is>
      </c>
      <c r="F31" s="4" t="inlineStr">
        <is>
          <t>法规安全要求（如适用北美市场）</t>
        </is>
      </c>
      <c r="G31" s="4" t="inlineStr">
        <is>
          <t>未发起</t>
        </is>
      </c>
    </row>
    <row r="32">
      <c r="A32" s="5" t="n">
        <v>31</v>
      </c>
      <c r="B32" s="5" t="inlineStr">
        <is>
          <t>SAE J2027 — 燃油管材料标准</t>
        </is>
      </c>
      <c r="C32" s="5" t="inlineStr">
        <is>
          <t>PF.90197 §4.1 Materials</t>
        </is>
      </c>
      <c r="D32" s="5" t="inlineStr">
        <is>
          <t>低</t>
        </is>
      </c>
      <c r="E32" s="5" t="inlineStr">
        <is>
          <t>自行购买</t>
        </is>
      </c>
      <c r="F32" s="5" t="inlineStr">
        <is>
          <t>管材料补充参考</t>
        </is>
      </c>
      <c r="G32" s="5" t="inlineStr">
        <is>
          <t>未发起</t>
        </is>
      </c>
    </row>
    <row r="33">
      <c r="A33" s="5" t="n">
        <v>32</v>
      </c>
      <c r="B33" s="5" t="inlineStr">
        <is>
          <t>SAE J1677 — 燃油管测试标准</t>
        </is>
      </c>
      <c r="C33" s="5" t="inlineStr">
        <is>
          <t>PF.90197 §5 Tests</t>
        </is>
      </c>
      <c r="D33" s="5" t="inlineStr">
        <is>
          <t>低</t>
        </is>
      </c>
      <c r="E33" s="5" t="inlineStr">
        <is>
          <t>自行购买</t>
        </is>
      </c>
      <c r="F33" s="5" t="inlineStr">
        <is>
          <t>补充测试方法参考</t>
        </is>
      </c>
      <c r="G33" s="5" t="inlineStr">
        <is>
          <t>未发起</t>
        </is>
      </c>
    </row>
    <row r="34">
      <c r="A34" s="5" t="n">
        <v>33</v>
      </c>
      <c r="B34" s="5" t="inlineStr">
        <is>
          <t>7.N0007 — Stellantis噪声规范</t>
        </is>
      </c>
      <c r="C34" s="5" t="inlineStr">
        <is>
          <t>PF.90197 §5.9 NVH</t>
        </is>
      </c>
      <c r="D34" s="5" t="inlineStr">
        <is>
          <t>低</t>
        </is>
      </c>
      <c r="E34" s="5" t="inlineStr">
        <is>
          <t>向客户要</t>
        </is>
      </c>
      <c r="F34" s="5" t="inlineStr">
        <is>
          <t>NVH要求（如适用）</t>
        </is>
      </c>
      <c r="G34" s="5" t="inlineStr">
        <is>
          <t>未发起</t>
        </is>
      </c>
    </row>
    <row r="35">
      <c r="A35" s="5" t="n">
        <v>34</v>
      </c>
      <c r="B35" s="5" t="inlineStr">
        <is>
          <t>DS-107 — 设计标准</t>
        </is>
      </c>
      <c r="C35" s="5" t="inlineStr">
        <is>
          <t>PF.90197 §3 Design</t>
        </is>
      </c>
      <c r="D35" s="5" t="inlineStr">
        <is>
          <t>低</t>
        </is>
      </c>
      <c r="E35" s="5" t="inlineStr">
        <is>
          <t>向客户要</t>
        </is>
      </c>
      <c r="F35" s="5" t="inlineStr">
        <is>
          <t>通用设计标准参考</t>
        </is>
      </c>
      <c r="G35" s="5" t="inlineStr">
        <is>
          <t>未发起</t>
        </is>
      </c>
    </row>
    <row r="36">
      <c r="A36" s="5" t="n">
        <v>35</v>
      </c>
      <c r="B36" s="5" t="inlineStr">
        <is>
          <t>CS.CCP-ROUTING — 管路布置规范</t>
        </is>
      </c>
      <c r="C36" s="5" t="inlineStr">
        <is>
          <t>PF.90197 §3.2 Routing</t>
        </is>
      </c>
      <c r="D36" s="5" t="inlineStr">
        <is>
          <t>低</t>
        </is>
      </c>
      <c r="E36" s="5" t="inlineStr">
        <is>
          <t>向客户要</t>
        </is>
      </c>
      <c r="F36" s="5" t="inlineStr">
        <is>
          <t>管路布置参考（需3D数据配合）</t>
        </is>
      </c>
      <c r="G36" s="5" t="inlineStr">
        <is>
          <t>未发起</t>
        </is>
      </c>
    </row>
    <row r="37">
      <c r="A37" s="5" t="n">
        <v>36</v>
      </c>
      <c r="B37" s="5" t="inlineStr">
        <is>
          <t>PF.90271 — 相关性能规范</t>
        </is>
      </c>
      <c r="C37" s="5" t="inlineStr">
        <is>
          <t>PF.90197 §1 Scope引用</t>
        </is>
      </c>
      <c r="D37" s="5" t="inlineStr">
        <is>
          <t>低</t>
        </is>
      </c>
      <c r="E37" s="5" t="inlineStr">
        <is>
          <t>向客户要</t>
        </is>
      </c>
      <c r="F37" s="5" t="inlineStr">
        <is>
          <t>关联规范，适用性待确认</t>
        </is>
      </c>
      <c r="G37" s="5" t="inlineStr">
        <is>
          <t>未发起</t>
        </is>
      </c>
    </row>
    <row r="38">
      <c r="A38" s="5" t="n">
        <v>37</v>
      </c>
      <c r="B38" s="5" t="inlineStr">
        <is>
          <t>SD-M0008/03 — 系统设计规范</t>
        </is>
      </c>
      <c r="C38" s="5" t="inlineStr">
        <is>
          <t>PF.90197 §3 Design</t>
        </is>
      </c>
      <c r="D38" s="5" t="inlineStr">
        <is>
          <t>低</t>
        </is>
      </c>
      <c r="E38" s="5" t="inlineStr">
        <is>
          <t>向客户要</t>
        </is>
      </c>
      <c r="F38" s="5" t="inlineStr">
        <is>
          <t>系统级设计参考</t>
        </is>
      </c>
      <c r="G38" s="5" t="inlineStr">
        <is>
          <t>未发起</t>
        </is>
      </c>
    </row>
    <row r="39">
      <c r="A39" s="5" t="n">
        <v>38</v>
      </c>
      <c r="B39" s="5" t="inlineStr">
        <is>
          <t>PS-11346 — 材料规范</t>
        </is>
      </c>
      <c r="C39" s="5" t="inlineStr">
        <is>
          <t>PF.90197 §4.1 Materials</t>
        </is>
      </c>
      <c r="D39" s="5" t="inlineStr">
        <is>
          <t>低</t>
        </is>
      </c>
      <c r="E39" s="5" t="inlineStr">
        <is>
          <t>向客户要</t>
        </is>
      </c>
      <c r="F39" s="5" t="inlineStr">
        <is>
          <t>补充材料规范</t>
        </is>
      </c>
      <c r="G39" s="5" t="inlineStr">
        <is>
          <t>未发起</t>
        </is>
      </c>
    </row>
    <row r="40">
      <c r="A40" s="5" t="n">
        <v>39</v>
      </c>
      <c r="B40" s="5" t="inlineStr">
        <is>
          <t>CDS开发进度模板（客户版）</t>
        </is>
      </c>
      <c r="C40" s="5" t="inlineStr">
        <is>
          <t>SSTS Deliverables, TDR#3</t>
        </is>
      </c>
      <c r="D40" s="5" t="inlineStr">
        <is>
          <t>低</t>
        </is>
      </c>
      <c r="E40" s="5" t="inlineStr">
        <is>
          <t>向客户要</t>
        </is>
      </c>
      <c r="F40" s="5" t="inlineStr">
        <is>
          <t>如客户有指定CDS模板则使用客户版</t>
        </is>
      </c>
      <c r="G40" s="5" t="inlineStr">
        <is>
          <t>未发起</t>
        </is>
      </c>
    </row>
    <row r="43">
      <c r="A43" s="6" t="inlineStr">
        <is>
          <t>统计</t>
        </is>
      </c>
    </row>
    <row r="44">
      <c r="A44" s="7" t="inlineStr">
        <is>
          <t>最高</t>
        </is>
      </c>
      <c r="B44" s="7">
        <f>COUNTIF(D2:D40,"最高")</f>
        <v/>
      </c>
    </row>
    <row r="45">
      <c r="A45" s="7" t="inlineStr">
        <is>
          <t>高</t>
        </is>
      </c>
      <c r="B45" s="7">
        <f>COUNTIF(D2:D40,"高")</f>
        <v/>
      </c>
    </row>
    <row r="46">
      <c r="A46" s="7" t="inlineStr">
        <is>
          <t>中</t>
        </is>
      </c>
      <c r="B46" s="7">
        <f>COUNTIF(D2:D40,"中")</f>
        <v/>
      </c>
    </row>
    <row r="47">
      <c r="A47" s="7" t="inlineStr">
        <is>
          <t>低</t>
        </is>
      </c>
      <c r="B47" s="7">
        <f>COUNTIF(D2:D40,"低")</f>
        <v/>
      </c>
    </row>
  </sheetData>
  <dataValidations count="3">
    <dataValidation sqref="D2:D89" showDropDown="0" showInputMessage="0" showErrorMessage="0" allowBlank="1" type="list">
      <formula1>"最高,高,中,低"</formula1>
    </dataValidation>
    <dataValidation sqref="G2:G89" showDropDown="0" showInputMessage="0" showErrorMessage="0" allowBlank="1" type="list">
      <formula1>"未发起,已发起,已收到,不适用"</formula1>
    </dataValidation>
    <dataValidation sqref="E2:E89" showDropDown="0" showInputMessage="0" showErrorMessage="0" allowBlank="1" type="list">
      <formula1>"向客户要,自行购买,内部收集"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2026-03-02T13:41:34Z</dcterms:created>
  <dcterms:modified xmlns:dcterms="http://purl.org/dc/terms/" xmlns:xsi="http://www.w3.org/2001/XMLSchema-instance" xsi:type="dcterms:W3CDTF">2026-03-02T13:41:34Z</dcterms:modified>
</cp:coreProperties>
</file>