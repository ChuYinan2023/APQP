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例外事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30" customWidth="1" min="3" max="3"/>
    <col width="15" customWidth="1" min="4" max="4"/>
    <col width="10" customWidth="1" min="5" max="5"/>
    <col width="25" customWidth="1" min="6" max="6"/>
    <col width="25" customWidth="1" min="7" max="7"/>
    <col width="20" customWidth="1" min="8" max="8"/>
  </cols>
  <sheetData>
    <row r="1" ht="30" customHeight="1">
      <c r="A1" s="1" t="inlineStr">
        <is>
          <t>类别</t>
        </is>
      </c>
      <c r="B1" s="1" t="inlineStr">
        <is>
          <t>序号</t>
        </is>
      </c>
      <c r="C1" s="1" t="inlineStr">
        <is>
          <t>客户要求</t>
        </is>
      </c>
      <c r="D1" s="1" t="inlineStr">
        <is>
          <t>要求来源</t>
        </is>
      </c>
      <c r="E1" s="1" t="inlineStr">
        <is>
          <t>判定</t>
        </is>
      </c>
      <c r="F1" s="1" t="inlineStr">
        <is>
          <t>我方现状</t>
        </is>
      </c>
      <c r="G1" s="1" t="inlineStr">
        <is>
          <t>替代方案</t>
        </is>
      </c>
      <c r="H1" s="1" t="inlineStr">
        <is>
          <t>备注</t>
        </is>
      </c>
    </row>
    <row r="2">
      <c r="A2" s="2" t="inlineStr">
        <is>
          <t>软件工具</t>
        </is>
      </c>
      <c r="B2" s="3" t="n">
        <v>1</v>
      </c>
      <c r="C2" s="3" t="inlineStr">
        <is>
          <t>3D CAD: UG (Unigraphics) .prt 或 Parasolid 格式</t>
        </is>
      </c>
      <c r="D2" s="3" t="inlineStr">
        <is>
          <t>TDR#4</t>
        </is>
      </c>
      <c r="E2" s="4" t="inlineStr">
        <is>
          <t>例外</t>
        </is>
      </c>
      <c r="F2" s="3" t="inlineStr">
        <is>
          <t>使用 CATIA V5 R2021，无UG/NX许可证</t>
        </is>
      </c>
      <c r="G2" s="3" t="inlineStr">
        <is>
          <t>方案1: 通过STEP/Parasolid中间格式转换交付;
方案2: 如客户严格要求原生UG格式，需采购NX许可证</t>
        </is>
      </c>
      <c r="H2" s="3" t="inlineStr">
        <is>
          <t>建议与客户确认是否接受Parasolid格式</t>
        </is>
      </c>
    </row>
    <row r="3">
      <c r="A3" s="5" t="n"/>
      <c r="B3" s="3" t="n">
        <v>2</v>
      </c>
      <c r="C3" s="3" t="inlineStr">
        <is>
          <t>CAD出图规则 per CS.00080</t>
        </is>
      </c>
      <c r="D3" s="3" t="inlineStr">
        <is>
          <t>CTS Table 5</t>
        </is>
      </c>
      <c r="E3" s="4" t="inlineStr">
        <is>
          <t>例外</t>
        </is>
      </c>
      <c r="F3" s="3" t="inlineStr">
        <is>
          <t>CATIA V5出图，非UG出图规则</t>
        </is>
      </c>
      <c r="G3" s="3" t="inlineStr">
        <is>
          <t>参照CS.00080要求，使用CATIA按等效规则出图</t>
        </is>
      </c>
      <c r="H3" s="3" t="inlineStr">
        <is>
          <t>需获取CS.00080确认差异</t>
        </is>
      </c>
    </row>
    <row r="4">
      <c r="A4" s="6" t="n"/>
      <c r="B4" s="3" t="n">
        <v>3</v>
      </c>
      <c r="C4" s="3" t="inlineStr">
        <is>
          <t>PLM/Teamcenter集成</t>
        </is>
      </c>
      <c r="D4" s="3" t="inlineStr">
        <is>
          <t>TDR通用要求</t>
        </is>
      </c>
      <c r="E4" s="7" t="inlineStr">
        <is>
          <t>待确认</t>
        </is>
      </c>
      <c r="F4" s="3" t="inlineStr">
        <is>
          <t>无PLM系统，使用文件服务器管理</t>
        </is>
      </c>
      <c r="G4" s="3" t="inlineStr">
        <is>
          <t>如客户要求可采购Teamcenter; 或通过文件包交付</t>
        </is>
      </c>
      <c r="H4" s="3" t="inlineStr">
        <is>
          <t>确认客户是否强制要求PLM</t>
        </is>
      </c>
    </row>
    <row r="5">
      <c r="A5" s="2" t="inlineStr">
        <is>
          <t>制造工艺</t>
        </is>
      </c>
      <c r="B5" s="3" t="n">
        <v>4</v>
      </c>
      <c r="C5" s="3" t="inlineStr">
        <is>
          <t>表面处理-镀镍（钢管涂层 per PS-8688）</t>
        </is>
      </c>
      <c r="D5" s="3" t="inlineStr">
        <is>
          <t>PF.90197 §6.2.1</t>
        </is>
      </c>
      <c r="E5" s="4" t="inlineStr">
        <is>
          <t>例外</t>
        </is>
      </c>
      <c r="F5" s="3" t="inlineStr">
        <is>
          <t>无内部镀镍产线</t>
        </is>
      </c>
      <c r="G5" s="3" t="inlineStr">
        <is>
          <t>委外：XX表面处理厂（已签长期协议）</t>
        </is>
      </c>
      <c r="H5" s="3" t="inlineStr">
        <is>
          <t>需PS-8688确认具体涂层要求</t>
        </is>
      </c>
    </row>
    <row r="6">
      <c r="A6" s="6" t="n"/>
      <c r="B6" s="3" t="n">
        <v>5</v>
      </c>
      <c r="C6" s="3" t="inlineStr">
        <is>
          <t>表面处理-涂装</t>
        </is>
      </c>
      <c r="D6" s="3" t="inlineStr">
        <is>
          <t>PF.90197 §6.2.1</t>
        </is>
      </c>
      <c r="E6" s="4" t="inlineStr">
        <is>
          <t>例外</t>
        </is>
      </c>
      <c r="F6" s="3" t="inlineStr">
        <is>
          <t>无内部涂装线</t>
        </is>
      </c>
      <c r="G6" s="3" t="inlineStr">
        <is>
          <t>委外处理</t>
        </is>
      </c>
      <c r="H6" s="3" t="inlineStr">
        <is>
          <t>如仅含塑料管则不适用</t>
        </is>
      </c>
    </row>
    <row r="7">
      <c r="A7" s="2" t="inlineStr">
        <is>
          <t>测试能力</t>
        </is>
      </c>
      <c r="B7" s="3" t="n">
        <v>6</v>
      </c>
      <c r="C7" s="3" t="inlineStr">
        <is>
          <t>振动耐久试验 (R95C90, Table 8频谱)</t>
        </is>
      </c>
      <c r="D7" s="3" t="inlineStr">
        <is>
          <t>PF.90197 §9.4</t>
        </is>
      </c>
      <c r="E7" s="4" t="inlineStr">
        <is>
          <t>例外</t>
        </is>
      </c>
      <c r="F7" s="3" t="inlineStr">
        <is>
          <t>无振动耐久试验台</t>
        </is>
      </c>
      <c r="G7" s="3" t="inlineStr">
        <is>
          <t>委外：国家实验室（已有合作）</t>
        </is>
      </c>
      <c r="H7" s="3" t="inlineStr">
        <is>
          <t>DV/PV各45件</t>
        </is>
      </c>
    </row>
    <row r="8">
      <c r="A8" s="5" t="n"/>
      <c r="B8" s="3" t="n">
        <v>7</v>
      </c>
      <c r="C8" s="3" t="inlineStr">
        <is>
          <t>MiniSHED蒸发排放测试 (per LP.7A005)</t>
        </is>
      </c>
      <c r="D8" s="3" t="inlineStr">
        <is>
          <t>PF.90197 §8.2</t>
        </is>
      </c>
      <c r="E8" s="4" t="inlineStr">
        <is>
          <t>例外</t>
        </is>
      </c>
      <c r="F8" s="3" t="inlineStr">
        <is>
          <t>无MiniSHED设备</t>
        </is>
      </c>
      <c r="G8" s="3" t="inlineStr">
        <is>
          <t>委外：具备SHED能力的第三方实验室</t>
        </is>
      </c>
      <c r="H8" s="3" t="inlineStr">
        <is>
          <t>CC特性&lt;E&gt;; 需LP.7A005程序</t>
        </is>
      </c>
    </row>
    <row r="9">
      <c r="A9" s="5" t="n"/>
      <c r="B9" s="3" t="n">
        <v>8</v>
      </c>
      <c r="C9" s="3" t="inlineStr">
        <is>
          <t>静电消散测试 (per SAE J1645)</t>
        </is>
      </c>
      <c r="D9" s="3" t="inlineStr">
        <is>
          <t>PF.90197 §6.2.5</t>
        </is>
      </c>
      <c r="E9" s="7" t="inlineStr">
        <is>
          <t>待确认</t>
        </is>
      </c>
      <c r="F9" s="3" t="inlineStr">
        <is>
          <t>VLD氦检有，静电消散专用测试待确认</t>
        </is>
      </c>
      <c r="G9" s="3" t="inlineStr">
        <is>
          <t>如无：委外或采购静电测试设备</t>
        </is>
      </c>
      <c r="H9" s="3" t="inlineStr">
        <is>
          <t>CC特性&lt;S&gt;; 需SAE J1645标准</t>
        </is>
      </c>
    </row>
    <row r="10">
      <c r="A10" s="5" t="n"/>
      <c r="B10" s="3" t="n">
        <v>9</v>
      </c>
      <c r="C10" s="3" t="inlineStr">
        <is>
          <t>SAE J2334循环腐蚀 (180 cycles)</t>
        </is>
      </c>
      <c r="D10" s="3" t="inlineStr">
        <is>
          <t>PF.90298 §5.1</t>
        </is>
      </c>
      <c r="E10" s="7" t="inlineStr">
        <is>
          <t>待确认</t>
        </is>
      </c>
      <c r="F10" s="3" t="inlineStr">
        <is>
          <t>有盐雾箱(480h)，SAE J2334需循环腐蚀箱</t>
        </is>
      </c>
      <c r="G10" s="3" t="inlineStr">
        <is>
          <t>如无循环腐蚀箱：委外第三方实验室</t>
        </is>
      </c>
      <c r="H10" s="3" t="inlineStr">
        <is>
          <t>需确认现有盐雾箱是否满足J2334要求</t>
        </is>
      </c>
    </row>
    <row r="11">
      <c r="A11" s="5" t="n"/>
      <c r="B11" s="3" t="n">
        <v>10</v>
      </c>
      <c r="C11" s="3" t="inlineStr">
        <is>
          <t>碎石冲击 (SAE J400, -30°C)</t>
        </is>
      </c>
      <c r="D11" s="3" t="inlineStr">
        <is>
          <t>PF.90298 §7.6</t>
        </is>
      </c>
      <c r="E11" s="7" t="inlineStr">
        <is>
          <t>待确认</t>
        </is>
      </c>
      <c r="F11" s="3" t="inlineStr">
        <is>
          <t>无碎石冲击设备</t>
        </is>
      </c>
      <c r="G11" s="3" t="inlineStr">
        <is>
          <t>委外第三方实验室</t>
        </is>
      </c>
      <c r="H11" s="3" t="inlineStr">
        <is>
          <t>需SAE J400标准</t>
        </is>
      </c>
    </row>
    <row r="12">
      <c r="A12" s="6" t="n"/>
      <c r="B12" s="3" t="n">
        <v>11</v>
      </c>
      <c r="C12" s="3" t="inlineStr">
        <is>
          <t>Charpy低温冲击 (-30°C)</t>
        </is>
      </c>
      <c r="D12" s="3" t="inlineStr">
        <is>
          <t>PF.90298 §6.3.5</t>
        </is>
      </c>
      <c r="E12" s="7" t="inlineStr">
        <is>
          <t>待确认</t>
        </is>
      </c>
      <c r="F12" s="3" t="inlineStr">
        <is>
          <t>万能试验机有，Charpy冲击附件待确认</t>
        </is>
      </c>
      <c r="G12" s="3" t="inlineStr">
        <is>
          <t>如无：委外或采购Charpy冲击附件</t>
        </is>
      </c>
      <c r="H12" s="3" t="inlineStr">
        <is>
          <t>QC接头动态冲击测试</t>
        </is>
      </c>
    </row>
    <row r="13">
      <c r="A13" s="2" t="inlineStr">
        <is>
          <t>设计能力</t>
        </is>
      </c>
      <c r="B13" s="3" t="n">
        <v>12</v>
      </c>
      <c r="C13" s="3" t="inlineStr">
        <is>
          <t>Damper子总成设计（参考图纸P003161）</t>
        </is>
      </c>
      <c r="D13" s="3" t="inlineStr">
        <is>
          <t>图纸P003161</t>
        </is>
      </c>
      <c r="E13" s="7" t="inlineStr">
        <is>
          <t>待确认</t>
        </is>
      </c>
      <c r="F13" s="3" t="inlineStr">
        <is>
          <t>有注塑+装配能力，需基于参考设计调整</t>
        </is>
      </c>
      <c r="G13" s="3" t="inlineStr">
        <is>
          <t>基于Nobel Plastiques参考图纸，自行优化设计</t>
        </is>
      </c>
      <c r="H13" s="3" t="inlineStr">
        <is>
          <t>我方需调整设计，非直接复制</t>
        </is>
      </c>
    </row>
    <row r="14">
      <c r="A14" s="6" t="n"/>
      <c r="B14" s="3" t="n">
        <v>13</v>
      </c>
      <c r="C14" s="3" t="inlineStr">
        <is>
          <t>CAE虚拟分析</t>
        </is>
      </c>
      <c r="D14" s="3" t="inlineStr">
        <is>
          <t>TDR#2</t>
        </is>
      </c>
      <c r="E14" s="8" t="inlineStr">
        <is>
          <t>符合</t>
        </is>
      </c>
      <c r="F14" s="3" t="inlineStr">
        <is>
          <t>ANSYS 2023R1基础模块</t>
        </is>
      </c>
      <c r="G14" s="3" t="inlineStr">
        <is>
          <t>—</t>
        </is>
      </c>
      <c r="H14" s="3" t="inlineStr">
        <is>
          <t>TDR#2标注Not Applicable</t>
        </is>
      </c>
    </row>
    <row r="17">
      <c r="A17" s="9" t="inlineStr">
        <is>
          <t>统计</t>
        </is>
      </c>
    </row>
    <row r="18">
      <c r="A18" s="10" t="inlineStr">
        <is>
          <t>符合</t>
        </is>
      </c>
      <c r="B18" s="11">
        <f>COUNTIF(E2:E14,"符合")</f>
        <v/>
      </c>
    </row>
    <row r="19">
      <c r="A19" s="12" t="inlineStr">
        <is>
          <t>例外</t>
        </is>
      </c>
      <c r="B19" s="11">
        <f>COUNTIF(E2:E14,"例外")</f>
        <v/>
      </c>
    </row>
    <row r="20">
      <c r="A20" s="13" t="inlineStr">
        <is>
          <t>待确认</t>
        </is>
      </c>
      <c r="B20" s="11">
        <f>COUNTIF(E2:E14,"待确认")</f>
        <v/>
      </c>
    </row>
  </sheetData>
  <mergeCells count="4">
    <mergeCell ref="A5:A6"/>
    <mergeCell ref="A2:A4"/>
    <mergeCell ref="A13:A14"/>
    <mergeCell ref="A7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2026-03-02T12:20:07Z</dcterms:created>
  <dcterms:modified xmlns:dcterms="http://purl.org/dc/terms/" xmlns:xsi="http://www.w3.org/2001/XMLSchema-instance" xsi:type="dcterms:W3CDTF">2026-03-02T12:20:07Z</dcterms:modified>
</cp:coreProperties>
</file>