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项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F7F"/>
        <bgColor rgb="00FF7F7F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8" customWidth="1" min="4" max="4"/>
    <col width="12" customWidth="1" min="5" max="5"/>
    <col width="30" customWidth="1" min="6" max="6"/>
    <col width="10" customWidth="1" min="7" max="7"/>
  </cols>
  <sheetData>
    <row r="1" ht="30" customHeight="1">
      <c r="A1" s="1" t="inlineStr">
        <is>
          <t>序号</t>
        </is>
      </c>
      <c r="B1" s="1" t="inlineStr">
        <is>
          <t>缺失文档</t>
        </is>
      </c>
      <c r="C1" s="1" t="inlineStr">
        <is>
          <t>引用来源</t>
        </is>
      </c>
      <c r="D1" s="1" t="inlineStr">
        <is>
          <t>紧急度</t>
        </is>
      </c>
      <c r="E1" s="1" t="inlineStr">
        <is>
          <t>来源方</t>
        </is>
      </c>
      <c r="F1" s="1" t="inlineStr">
        <is>
          <t>影响范围</t>
        </is>
      </c>
      <c r="G1" s="1" t="inlineStr">
        <is>
          <t>处理状态</t>
        </is>
      </c>
    </row>
    <row r="2">
      <c r="A2" s="2" t="n">
        <v>1</v>
      </c>
      <c r="B2" s="2" t="inlineStr">
        <is>
          <t>3D CAD 数据 (UG/Parasolid)</t>
        </is>
      </c>
      <c r="C2" s="2" t="inlineStr">
        <is>
          <t>TDR §4, SSTS §2.4.3, Deliverables #10/#14</t>
        </is>
      </c>
      <c r="D2" s="2" t="inlineStr">
        <is>
          <t>最高</t>
        </is>
      </c>
      <c r="E2" s="2" t="inlineStr">
        <is>
          <t>向客户要</t>
        </is>
      </c>
      <c r="F2" s="2" t="inlineStr">
        <is>
          <t>TDR#4无法完成；Layout/Packaging无法验证；注：我方用CATIA V5，UG格式列为例外项</t>
        </is>
      </c>
      <c r="G2" s="2" t="inlineStr">
        <is>
          <t>未发起</t>
        </is>
      </c>
    </row>
    <row r="3">
      <c r="A3" s="2" t="n">
        <v>2</v>
      </c>
      <c r="B3" s="2" t="inlineStr">
        <is>
          <t>PF.90068 — 认证程序 Annex A
(最低样本量定义)</t>
        </is>
      </c>
      <c r="C3" s="2" t="inlineStr">
        <is>
          <t>SSTS Quality Targets §R29</t>
        </is>
      </c>
      <c r="D3" s="2" t="inlineStr">
        <is>
          <t>最高</t>
        </is>
      </c>
      <c r="E3" s="2" t="inlineStr">
        <is>
          <t>向客户要</t>
        </is>
      </c>
      <c r="F3" s="2" t="inlineStr">
        <is>
          <t>DV/PV plan中最低样本量无法确定</t>
        </is>
      </c>
      <c r="G3" s="2" t="inlineStr">
        <is>
          <t>未发起</t>
        </is>
      </c>
    </row>
    <row r="4">
      <c r="A4" s="2" t="n">
        <v>3</v>
      </c>
      <c r="B4" s="2" t="inlineStr">
        <is>
          <t>SAE J2044 — Quick Connect Coupling Spec</t>
        </is>
      </c>
      <c r="C4" s="2" t="inlineStr">
        <is>
          <t>PF.90197 §1.2/6.2.4/6.3.5, PF.90298 §6.3.1/7.1~7.4/9.3~9.5</t>
        </is>
      </c>
      <c r="D4" s="2" t="inlineStr">
        <is>
          <t>最高</t>
        </is>
      </c>
      <c r="E4" s="2" t="inlineStr">
        <is>
          <t>自行购买</t>
        </is>
      </c>
      <c r="F4" s="2" t="inlineStr">
        <is>
          <t>QC接头全部功能/耐久测试程序依赖此标准</t>
        </is>
      </c>
      <c r="G4" s="2" t="inlineStr">
        <is>
          <t>未发起</t>
        </is>
      </c>
    </row>
    <row r="5">
      <c r="A5" s="2" t="n">
        <v>4</v>
      </c>
      <c r="B5" s="2" t="inlineStr">
        <is>
          <t>SAE J2045 — Fuel System Tubing Performance</t>
        </is>
      </c>
      <c r="C5" s="2" t="inlineStr">
        <is>
          <t>PF.90197 §5.1/6.3.5/7.1/9.3</t>
        </is>
      </c>
      <c r="D5" s="2" t="inlineStr">
        <is>
          <t>最高</t>
        </is>
      </c>
      <c r="E5" s="2" t="inlineStr">
        <is>
          <t>自行购买</t>
        </is>
      </c>
      <c r="F5" s="2" t="inlineStr">
        <is>
          <t>管路拉脱力/清洁度/寿命循环核心测试程序</t>
        </is>
      </c>
      <c r="G5" s="2" t="inlineStr">
        <is>
          <t>未发起</t>
        </is>
      </c>
    </row>
    <row r="6">
      <c r="A6" s="2" t="n">
        <v>5</v>
      </c>
      <c r="B6" s="2" t="inlineStr">
        <is>
          <t>SAE J2260 — Nonmetallic Fuel System Tubing</t>
        </is>
      </c>
      <c r="C6" s="2" t="inlineStr">
        <is>
          <t>PF.90197 §1.2/6.2.1</t>
        </is>
      </c>
      <c r="D6" s="2" t="inlineStr">
        <is>
          <t>最高</t>
        </is>
      </c>
      <c r="E6" s="2" t="inlineStr">
        <is>
          <t>自行购买</t>
        </is>
      </c>
      <c r="F6" s="2" t="inlineStr">
        <is>
          <t>塑料管材料/结构/测试基础标准</t>
        </is>
      </c>
      <c r="G6" s="2" t="inlineStr">
        <is>
          <t>未发起</t>
        </is>
      </c>
    </row>
    <row r="7">
      <c r="A7" s="3" t="n">
        <v>6</v>
      </c>
      <c r="B7" s="3" t="inlineStr">
        <is>
          <t>CD.80064 — Fuel Bundle Core Documents</t>
        </is>
      </c>
      <c r="C7" s="3" t="inlineStr">
        <is>
          <t>PF.90197 Table 1, §10.1</t>
        </is>
      </c>
      <c r="D7" s="3" t="inlineStr">
        <is>
          <t>高</t>
        </is>
      </c>
      <c r="E7" s="3" t="inlineStr">
        <is>
          <t>向客户要</t>
        </is>
      </c>
      <c r="F7" s="3" t="inlineStr">
        <is>
          <t>核心设计参考文件包，不可供应商下载</t>
        </is>
      </c>
      <c r="G7" s="3" t="inlineStr">
        <is>
          <t>未发起</t>
        </is>
      </c>
    </row>
    <row r="8">
      <c r="A8" s="3" t="n">
        <v>7</v>
      </c>
      <c r="B8" s="3" t="inlineStr">
        <is>
          <t>SD-11597 — Fuel Compatibility List</t>
        </is>
      </c>
      <c r="C8" s="3" t="inlineStr">
        <is>
          <t>PF.90197 §6.3.6, PF.90298 §5.5</t>
        </is>
      </c>
      <c r="D8" s="3" t="inlineStr">
        <is>
          <t>高</t>
        </is>
      </c>
      <c r="E8" s="3" t="inlineStr">
        <is>
          <t>向客户要</t>
        </is>
      </c>
      <c r="F8" s="3" t="inlineStr">
        <is>
          <t>燃油兼容性测试的燃料清单（C5/C6/C7/B20/B30等级定义）</t>
        </is>
      </c>
      <c r="G8" s="3" t="inlineStr">
        <is>
          <t>未发起</t>
        </is>
      </c>
    </row>
    <row r="9">
      <c r="A9" s="3" t="n">
        <v>8</v>
      </c>
      <c r="B9" s="3" t="inlineStr">
        <is>
          <t>SD-M0008/03 — Plastic Fuel Line Approvals</t>
        </is>
      </c>
      <c r="C9" s="3" t="inlineStr">
        <is>
          <t>PF.90197 §1.2, Table 1</t>
        </is>
      </c>
      <c r="D9" s="3" t="inlineStr">
        <is>
          <t>高</t>
        </is>
      </c>
      <c r="E9" s="3" t="inlineStr">
        <is>
          <t>向客户要</t>
        </is>
      </c>
      <c r="F9" s="3" t="inlineStr">
        <is>
          <t>塑料管材/接头预批准清单</t>
        </is>
      </c>
      <c r="G9" s="3" t="inlineStr">
        <is>
          <t>未发起</t>
        </is>
      </c>
    </row>
    <row r="10">
      <c r="A10" s="3" t="n">
        <v>9</v>
      </c>
      <c r="B10" s="3" t="inlineStr">
        <is>
          <t>CS.00251 — Corrosion Requirements</t>
        </is>
      </c>
      <c r="C10" s="3" t="inlineStr">
        <is>
          <t>PF.90197 §5.3</t>
        </is>
      </c>
      <c r="D10" s="3" t="inlineStr">
        <is>
          <t>高</t>
        </is>
      </c>
      <c r="E10" s="3" t="inlineStr">
        <is>
          <t>向客户要</t>
        </is>
      </c>
      <c r="F10" s="3" t="inlineStr">
        <is>
          <t>腐蚀测试程序（15年功能寿命验证）</t>
        </is>
      </c>
      <c r="G10" s="3" t="inlineStr">
        <is>
          <t>未发起</t>
        </is>
      </c>
    </row>
    <row r="11">
      <c r="A11" s="3" t="n">
        <v>10</v>
      </c>
      <c r="B11" s="3" t="inlineStr">
        <is>
          <t>QR.00001 — GPAT</t>
        </is>
      </c>
      <c r="C11" s="3" t="inlineStr">
        <is>
          <t>PF.90197 Table 1, PF.90298 Table 1, CTS Table 2</t>
        </is>
      </c>
      <c r="D11" s="3" t="inlineStr">
        <is>
          <t>高</t>
        </is>
      </c>
      <c r="E11" s="3" t="inlineStr">
        <is>
          <t>向客户要</t>
        </is>
      </c>
      <c r="F11" s="3" t="inlineStr">
        <is>
          <t>全球产品保证测试要求</t>
        </is>
      </c>
      <c r="G11" s="3" t="inlineStr">
        <is>
          <t>未发起</t>
        </is>
      </c>
    </row>
    <row r="12">
      <c r="A12" s="3" t="n">
        <v>11</v>
      </c>
      <c r="B12" s="3" t="inlineStr">
        <is>
          <t>07740 — Qualification Procedure</t>
        </is>
      </c>
      <c r="C12" s="3" t="inlineStr">
        <is>
          <t>CTS Table 2, SSTS §4 Validation</t>
        </is>
      </c>
      <c r="D12" s="3" t="inlineStr">
        <is>
          <t>高</t>
        </is>
      </c>
      <c r="E12" s="3" t="inlineStr">
        <is>
          <t>向客户要</t>
        </is>
      </c>
      <c r="F12" s="3" t="inlineStr">
        <is>
          <t>DV/PV plan格式要求（Annex 2）</t>
        </is>
      </c>
      <c r="G12" s="3" t="inlineStr">
        <is>
          <t>未发起</t>
        </is>
      </c>
    </row>
    <row r="13">
      <c r="A13" s="3" t="n">
        <v>12</v>
      </c>
      <c r="B13" s="3" t="inlineStr">
        <is>
          <t>CS-9003 — Restricted Substances</t>
        </is>
      </c>
      <c r="C13" s="3" t="inlineStr">
        <is>
          <t>PF.90298 Table 1, CTS Table 4</t>
        </is>
      </c>
      <c r="D13" s="3" t="inlineStr">
        <is>
          <t>高</t>
        </is>
      </c>
      <c r="E13" s="3" t="inlineStr">
        <is>
          <t>向客户要</t>
        </is>
      </c>
      <c r="F13" s="3" t="inlineStr">
        <is>
          <t>限用物质合规（IMDS前置条件）</t>
        </is>
      </c>
      <c r="G13" s="3" t="inlineStr">
        <is>
          <t>未发起</t>
        </is>
      </c>
    </row>
    <row r="14">
      <c r="A14" s="3" t="n">
        <v>13</v>
      </c>
      <c r="B14" s="3" t="inlineStr">
        <is>
          <t>QR-10012 — Dimensional Quality Requirements</t>
        </is>
      </c>
      <c r="C14" s="3" t="inlineStr">
        <is>
          <t>PF.90197 §6.2.2, PF.90298 §6.2.2</t>
        </is>
      </c>
      <c r="D14" s="3" t="inlineStr">
        <is>
          <t>高</t>
        </is>
      </c>
      <c r="E14" s="3" t="inlineStr">
        <is>
          <t>向客户要</t>
        </is>
      </c>
      <c r="F14" s="3" t="inlineStr">
        <is>
          <t>尺寸验证程序和公差标准</t>
        </is>
      </c>
      <c r="G14" s="3" t="inlineStr">
        <is>
          <t>未发起</t>
        </is>
      </c>
    </row>
    <row r="15">
      <c r="A15" s="4" t="n">
        <v>14</v>
      </c>
      <c r="B15" s="4" t="inlineStr">
        <is>
          <t>SAE J2334 — Laboratory Cyclic Corrosion Test</t>
        </is>
      </c>
      <c r="C15" s="4" t="inlineStr">
        <is>
          <t>PF.90197 §5.3, PF.90298 §5.1</t>
        </is>
      </c>
      <c r="D15" s="4" t="inlineStr">
        <is>
          <t>中</t>
        </is>
      </c>
      <c r="E15" s="4" t="inlineStr">
        <is>
          <t>自行购买</t>
        </is>
      </c>
      <c r="F15" s="4" t="inlineStr">
        <is>
          <t>循环腐蚀测试方法（180 cycles）</t>
        </is>
      </c>
      <c r="G15" s="4" t="inlineStr">
        <is>
          <t>未发起</t>
        </is>
      </c>
    </row>
    <row r="16">
      <c r="A16" s="4" t="n">
        <v>15</v>
      </c>
      <c r="B16" s="4" t="inlineStr">
        <is>
          <t>SAE J400 — Chip Resistance Test</t>
        </is>
      </c>
      <c r="C16" s="4" t="inlineStr">
        <is>
          <t>PF.90197 §5.3, PF.90298 §7.6</t>
        </is>
      </c>
      <c r="D16" s="4" t="inlineStr">
        <is>
          <t>中</t>
        </is>
      </c>
      <c r="E16" s="4" t="inlineStr">
        <is>
          <t>自行购买</t>
        </is>
      </c>
      <c r="F16" s="4" t="inlineStr">
        <is>
          <t>碎石冲击测试方法</t>
        </is>
      </c>
      <c r="G16" s="4" t="inlineStr">
        <is>
          <t>未发起</t>
        </is>
      </c>
    </row>
    <row r="17">
      <c r="A17" s="4" t="n">
        <v>16</v>
      </c>
      <c r="B17" s="4" t="inlineStr">
        <is>
          <t>SAE J1645 — Fuel System Electrostatic Charge</t>
        </is>
      </c>
      <c r="C17" s="4" t="inlineStr">
        <is>
          <t>PF.90197 §6.2.5, PF.90298 §6.4.1</t>
        </is>
      </c>
      <c r="D17" s="4" t="inlineStr">
        <is>
          <t>中</t>
        </is>
      </c>
      <c r="E17" s="4" t="inlineStr">
        <is>
          <t>自行购买</t>
        </is>
      </c>
      <c r="F17" s="4" t="inlineStr">
        <is>
          <t>静电消散测试方法</t>
        </is>
      </c>
      <c r="G17" s="4" t="inlineStr">
        <is>
          <t>未发起</t>
        </is>
      </c>
    </row>
    <row r="18">
      <c r="A18" s="4" t="n">
        <v>17</v>
      </c>
      <c r="B18" s="4" t="inlineStr">
        <is>
          <t>DIN 51604 — FAM Testing Fluid</t>
        </is>
      </c>
      <c r="C18" s="4" t="inlineStr">
        <is>
          <t>PF.90197 §6.2.1, PF.90298 §5.5</t>
        </is>
      </c>
      <c r="D18" s="4" t="inlineStr">
        <is>
          <t>中</t>
        </is>
      </c>
      <c r="E18" s="4" t="inlineStr">
        <is>
          <t>自行购买</t>
        </is>
      </c>
      <c r="F18" s="4" t="inlineStr">
        <is>
          <t>FAM B测试液标准</t>
        </is>
      </c>
      <c r="G18" s="4" t="inlineStr">
        <is>
          <t>未发起</t>
        </is>
      </c>
    </row>
    <row r="19">
      <c r="A19" s="4" t="n">
        <v>18</v>
      </c>
      <c r="B19" s="4" t="inlineStr">
        <is>
          <t>EN ISO 527-2 — Plastics Tensile Properties</t>
        </is>
      </c>
      <c r="C19" s="4" t="inlineStr">
        <is>
          <t>PF.90197 §6.2.1 Table 3</t>
        </is>
      </c>
      <c r="D19" s="4" t="inlineStr">
        <is>
          <t>中</t>
        </is>
      </c>
      <c r="E19" s="4" t="inlineStr">
        <is>
          <t>自行购买</t>
        </is>
      </c>
      <c r="F19" s="4" t="inlineStr">
        <is>
          <t>塑料拉伸性能测试方法</t>
        </is>
      </c>
      <c r="G19" s="4" t="inlineStr">
        <is>
          <t>未发起</t>
        </is>
      </c>
    </row>
    <row r="20">
      <c r="A20" s="4" t="n">
        <v>19</v>
      </c>
      <c r="B20" s="4" t="inlineStr">
        <is>
          <t>DIN 53504 — Rubber Tensile Properties</t>
        </is>
      </c>
      <c r="C20" s="4" t="inlineStr">
        <is>
          <t>PF.90197 Table 1</t>
        </is>
      </c>
      <c r="D20" s="4" t="inlineStr">
        <is>
          <t>中</t>
        </is>
      </c>
      <c r="E20" s="4" t="inlineStr">
        <is>
          <t>自行购买</t>
        </is>
      </c>
      <c r="F20" s="4" t="inlineStr">
        <is>
          <t>橡胶拉伸应力/应变测试</t>
        </is>
      </c>
      <c r="G20" s="4" t="inlineStr">
        <is>
          <t>未发起</t>
        </is>
      </c>
    </row>
    <row r="21">
      <c r="A21" s="4" t="n">
        <v>20</v>
      </c>
      <c r="B21" s="4" t="inlineStr">
        <is>
          <t>LP.7A004 — Fuel System Electrostatic Charge</t>
        </is>
      </c>
      <c r="C21" s="4" t="inlineStr">
        <is>
          <t>PF.90197 §6.2.5</t>
        </is>
      </c>
      <c r="D21" s="4" t="inlineStr">
        <is>
          <t>中</t>
        </is>
      </c>
      <c r="E21" s="4" t="inlineStr">
        <is>
          <t>向客户要</t>
        </is>
      </c>
      <c r="F21" s="4" t="inlineStr">
        <is>
          <t>静电测试程序（不可供应商下载）</t>
        </is>
      </c>
      <c r="G21" s="4" t="inlineStr">
        <is>
          <t>未发起</t>
        </is>
      </c>
    </row>
    <row r="22">
      <c r="A22" s="4" t="n">
        <v>21</v>
      </c>
      <c r="B22" s="4" t="inlineStr">
        <is>
          <t>LP.7A005 — Mini-SHED Emission Test</t>
        </is>
      </c>
      <c r="C22" s="4" t="inlineStr">
        <is>
          <t>PF.90197 §8.2</t>
        </is>
      </c>
      <c r="D22" s="4" t="inlineStr">
        <is>
          <t>中</t>
        </is>
      </c>
      <c r="E22" s="4" t="inlineStr">
        <is>
          <t>向客户要</t>
        </is>
      </c>
      <c r="F22" s="4" t="inlineStr">
        <is>
          <t>蒸发排放MiniSHED测试程序</t>
        </is>
      </c>
      <c r="G22" s="4" t="inlineStr">
        <is>
          <t>未发起</t>
        </is>
      </c>
    </row>
    <row r="23">
      <c r="A23" s="4" t="n">
        <v>22</v>
      </c>
      <c r="B23" s="4" t="inlineStr">
        <is>
          <t>PS-8688 — Coatings for Steel Tubing</t>
        </is>
      </c>
      <c r="C23" s="4" t="inlineStr">
        <is>
          <t>PF.90197 §6.2.1, Table 1</t>
        </is>
      </c>
      <c r="D23" s="4" t="inlineStr">
        <is>
          <t>中</t>
        </is>
      </c>
      <c r="E23" s="4" t="inlineStr">
        <is>
          <t>向客户要</t>
        </is>
      </c>
      <c r="F23" s="4" t="inlineStr">
        <is>
          <t>钢管涂层标准</t>
        </is>
      </c>
      <c r="G23" s="4" t="inlineStr">
        <is>
          <t>未发起</t>
        </is>
      </c>
    </row>
    <row r="24">
      <c r="A24" s="4" t="n">
        <v>23</v>
      </c>
      <c r="B24" s="4" t="inlineStr">
        <is>
          <t>CS.00081 — Corrosion Requirement (QC)</t>
        </is>
      </c>
      <c r="C24" s="4" t="inlineStr">
        <is>
          <t>PF.90298 §5.1</t>
        </is>
      </c>
      <c r="D24" s="4" t="inlineStr">
        <is>
          <t>中</t>
        </is>
      </c>
      <c r="E24" s="4" t="inlineStr">
        <is>
          <t>向客户要</t>
        </is>
      </c>
      <c r="F24" s="4" t="inlineStr">
        <is>
          <t>QC接头腐蚀测试引用标准</t>
        </is>
      </c>
      <c r="G24" s="4" t="inlineStr">
        <is>
          <t>未发起</t>
        </is>
      </c>
    </row>
    <row r="25">
      <c r="A25" s="4" t="n">
        <v>24</v>
      </c>
      <c r="B25" s="4" t="inlineStr">
        <is>
          <t>MS.50017 — PA Nylon (Harmonized)</t>
        </is>
      </c>
      <c r="C25" s="4" t="inlineStr">
        <is>
          <t>CTS Table 3</t>
        </is>
      </c>
      <c r="D25" s="4" t="inlineStr">
        <is>
          <t>中</t>
        </is>
      </c>
      <c r="E25" s="4" t="inlineStr">
        <is>
          <t>向客户要</t>
        </is>
      </c>
      <c r="F25" s="4" t="inlineStr">
        <is>
          <t>PA尼龙材料规范</t>
        </is>
      </c>
      <c r="G25" s="4" t="inlineStr">
        <is>
          <t>未发起</t>
        </is>
      </c>
    </row>
    <row r="26">
      <c r="A26" s="4" t="n">
        <v>25</v>
      </c>
      <c r="B26" s="4" t="inlineStr">
        <is>
          <t>MS.50015 — TPV EPDM/PP (Harmonized)</t>
        </is>
      </c>
      <c r="C26" s="4" t="inlineStr">
        <is>
          <t>CTS Table 3</t>
        </is>
      </c>
      <c r="D26" s="4" t="inlineStr">
        <is>
          <t>中</t>
        </is>
      </c>
      <c r="E26" s="4" t="inlineStr">
        <is>
          <t>向客户要</t>
        </is>
      </c>
      <c r="F26" s="4" t="inlineStr">
        <is>
          <t>热塑性硫化胶材料规范</t>
        </is>
      </c>
      <c r="G26" s="4" t="inlineStr">
        <is>
          <t>未发起</t>
        </is>
      </c>
    </row>
    <row r="27">
      <c r="A27" s="4" t="n">
        <v>26</v>
      </c>
      <c r="B27" s="4" t="inlineStr">
        <is>
          <t>9.14618 — Rubber O-Rings Seals</t>
        </is>
      </c>
      <c r="C27" s="4" t="inlineStr">
        <is>
          <t>CTS Table 3</t>
        </is>
      </c>
      <c r="D27" s="4" t="inlineStr">
        <is>
          <t>中</t>
        </is>
      </c>
      <c r="E27" s="4" t="inlineStr">
        <is>
          <t>向客户要</t>
        </is>
      </c>
      <c r="F27" s="4" t="inlineStr">
        <is>
          <t>O型密封圈规范</t>
        </is>
      </c>
      <c r="G27" s="4" t="inlineStr">
        <is>
          <t>未发起</t>
        </is>
      </c>
    </row>
    <row r="28">
      <c r="A28" s="5" t="n">
        <v>27</v>
      </c>
      <c r="B28" s="5" t="inlineStr">
        <is>
          <t>FMVSS 301 — Fuel System Integrity</t>
        </is>
      </c>
      <c r="C28" s="5" t="inlineStr">
        <is>
          <t>PF.90197 §8.1, PF.90298 §8.1</t>
        </is>
      </c>
      <c r="D28" s="5" t="inlineStr">
        <is>
          <t>低</t>
        </is>
      </c>
      <c r="E28" s="5" t="inlineStr">
        <is>
          <t>自行购买</t>
        </is>
      </c>
      <c r="F28" s="5" t="inlineStr">
        <is>
          <t>碰撞安全（STELLANTIS负责车辆级测试）</t>
        </is>
      </c>
      <c r="G28" s="5" t="inlineStr">
        <is>
          <t>未发起</t>
        </is>
      </c>
    </row>
    <row r="29">
      <c r="A29" s="5" t="n">
        <v>28</v>
      </c>
      <c r="B29" s="5" t="inlineStr">
        <is>
          <t>SAE J2027 — Protective Covers</t>
        </is>
      </c>
      <c r="C29" s="5" t="inlineStr">
        <is>
          <t>PF.90197 §1.2</t>
        </is>
      </c>
      <c r="D29" s="5" t="inlineStr">
        <is>
          <t>低</t>
        </is>
      </c>
      <c r="E29" s="5" t="inlineStr">
        <is>
          <t>自行购买</t>
        </is>
      </c>
      <c r="F29" s="5" t="inlineStr">
        <is>
          <t>保护套标准（材料选择参考）</t>
        </is>
      </c>
      <c r="G29" s="5" t="inlineStr">
        <is>
          <t>未发起</t>
        </is>
      </c>
    </row>
    <row r="30">
      <c r="A30" s="5" t="n">
        <v>29</v>
      </c>
      <c r="B30" s="5" t="inlineStr">
        <is>
          <t>SAE J1677 — Steel Tubing Test</t>
        </is>
      </c>
      <c r="C30" s="5" t="inlineStr">
        <is>
          <t>PF.90197 Table 1</t>
        </is>
      </c>
      <c r="D30" s="5" t="inlineStr">
        <is>
          <t>低</t>
        </is>
      </c>
      <c r="E30" s="5" t="inlineStr">
        <is>
          <t>自行购买</t>
        </is>
      </c>
      <c r="F30" s="5" t="inlineStr">
        <is>
          <t>钢管测试（如不含钢管则不适用）</t>
        </is>
      </c>
      <c r="G30" s="5" t="inlineStr">
        <is>
          <t>未发起</t>
        </is>
      </c>
    </row>
    <row r="31">
      <c r="A31" s="5" t="n">
        <v>30</v>
      </c>
      <c r="B31" s="5" t="inlineStr">
        <is>
          <t>EN 14214 — FAME for Diesel Engines</t>
        </is>
      </c>
      <c r="C31" s="5" t="inlineStr">
        <is>
          <t>PF.90197 §6.3.6.2</t>
        </is>
      </c>
      <c r="D31" s="5" t="inlineStr">
        <is>
          <t>低</t>
        </is>
      </c>
      <c r="E31" s="5" t="inlineStr">
        <is>
          <t>自行购买</t>
        </is>
      </c>
      <c r="F31" s="5" t="inlineStr">
        <is>
          <t>生物柴油B30参考标准</t>
        </is>
      </c>
      <c r="G31" s="5" t="inlineStr">
        <is>
          <t>未发起</t>
        </is>
      </c>
    </row>
    <row r="32">
      <c r="A32" s="5" t="n">
        <v>31</v>
      </c>
      <c r="B32" s="5" t="inlineStr">
        <is>
          <t>CS.00080 — CAD Drawings Rules</t>
        </is>
      </c>
      <c r="C32" s="5" t="inlineStr">
        <is>
          <t>CTS Table 5</t>
        </is>
      </c>
      <c r="D32" s="5" t="inlineStr">
        <is>
          <t>低</t>
        </is>
      </c>
      <c r="E32" s="5" t="inlineStr">
        <is>
          <t>向客户要</t>
        </is>
      </c>
      <c r="F32" s="5" t="inlineStr">
        <is>
          <t>CAD出图规则（列为例外项，我方用CATIA）</t>
        </is>
      </c>
      <c r="G32" s="5" t="inlineStr">
        <is>
          <t>未发起</t>
        </is>
      </c>
    </row>
    <row r="33">
      <c r="A33" s="5" t="n">
        <v>32</v>
      </c>
      <c r="B33" s="5" t="inlineStr">
        <is>
          <t>9.01111 — Ergonomics</t>
        </is>
      </c>
      <c r="C33" s="5" t="inlineStr">
        <is>
          <t>CTS §5.2</t>
        </is>
      </c>
      <c r="D33" s="5" t="inlineStr">
        <is>
          <t>低</t>
        </is>
      </c>
      <c r="E33" s="5" t="inlineStr">
        <is>
          <t>向客户要</t>
        </is>
      </c>
      <c r="F33" s="5" t="inlineStr">
        <is>
          <t>人机工程规范（辅助参考）</t>
        </is>
      </c>
      <c r="G33" s="5" t="inlineStr">
        <is>
          <t>未发起</t>
        </is>
      </c>
    </row>
    <row r="36">
      <c r="A36" s="6" t="inlineStr">
        <is>
          <t>统计</t>
        </is>
      </c>
    </row>
    <row r="37">
      <c r="A37" s="7" t="inlineStr">
        <is>
          <t>最高</t>
        </is>
      </c>
      <c r="B37" s="7">
        <f>COUNTIF(D2:D33,"最高")</f>
        <v/>
      </c>
    </row>
    <row r="38">
      <c r="A38" s="7" t="inlineStr">
        <is>
          <t>高</t>
        </is>
      </c>
      <c r="B38" s="7">
        <f>COUNTIF(D2:D33,"高")</f>
        <v/>
      </c>
    </row>
    <row r="39">
      <c r="A39" s="7" t="inlineStr">
        <is>
          <t>中</t>
        </is>
      </c>
      <c r="B39" s="7">
        <f>COUNTIF(D2:D33,"中")</f>
        <v/>
      </c>
    </row>
    <row r="40">
      <c r="A40" s="7" t="inlineStr">
        <is>
          <t>低</t>
        </is>
      </c>
      <c r="B40" s="7">
        <f>COUNTIF(D2:D33,"低")</f>
        <v/>
      </c>
    </row>
  </sheetData>
  <dataValidations count="3">
    <dataValidation sqref="D2:D82" showDropDown="0" showInputMessage="0" showErrorMessage="0" allowBlank="1" type="list">
      <formula1>"最高,高,中,低"</formula1>
    </dataValidation>
    <dataValidation sqref="G2:G82" showDropDown="0" showInputMessage="0" showErrorMessage="0" allowBlank="1" type="list">
      <formula1>"未发起,已发起,已收到,不适用"</formula1>
    </dataValidation>
    <dataValidation sqref="E2:E82" showDropDown="0" showInputMessage="0" showErrorMessage="0" allowBlank="1" type="list">
      <formula1>"向客户要,自行购买,内部收集"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2026-03-02T10:31:00Z</dcterms:created>
  <dcterms:modified xmlns:dcterms="http://purl.org/dc/terms/" xmlns:xsi="http://www.w3.org/2001/XMLSchema-instance" xsi:type="dcterms:W3CDTF">2026-03-02T10:31:00Z</dcterms:modified>
</cp:coreProperties>
</file>