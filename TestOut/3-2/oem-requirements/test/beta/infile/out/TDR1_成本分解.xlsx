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本分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 #,##0.00"/>
  </numFmts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164" fontId="1" fillId="4" borderId="1" pivotButton="0" quotePrefix="0" xfId="0"/>
    <xf numFmtId="0" fontId="4" fillId="0" borderId="1" pivotButton="0" quotePrefix="0" xfId="0"/>
    <xf numFmtId="164" fontId="4" fillId="4" borderId="1" pivotButton="0" quotePrefix="0" xfId="0"/>
    <xf numFmtId="0" fontId="2" fillId="0" borderId="1" pivotButton="0" quotePrefix="0" xfId="0"/>
    <xf numFmtId="164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6" customWidth="1" min="4" max="4"/>
    <col width="10" customWidth="1" min="5" max="5"/>
    <col width="12" customWidth="1" min="6" max="6"/>
    <col width="12" customWidth="1" min="7" max="7"/>
  </cols>
  <sheetData>
    <row r="1">
      <c r="A1" s="1" t="inlineStr">
        <is>
          <t>零件号</t>
        </is>
      </c>
      <c r="B1" t="inlineStr">
        <is>
          <t>FC00SAA78530</t>
        </is>
      </c>
      <c r="C1" s="1" t="inlineStr">
        <is>
          <t>零件名</t>
        </is>
      </c>
      <c r="D1" t="inlineStr">
        <is>
          <t>Fuel supply line — diesel filter to engine (KP1 A&amp;B)</t>
        </is>
      </c>
    </row>
    <row r="3">
      <c r="A3" s="2" t="inlineStr">
        <is>
          <t>一、原材料成本</t>
        </is>
      </c>
    </row>
    <row r="4">
      <c r="A4" s="3" t="inlineStr">
        <is>
          <t>序号</t>
        </is>
      </c>
      <c r="B4" s="3" t="inlineStr">
        <is>
          <t>零件/材料</t>
        </is>
      </c>
      <c r="C4" s="3" t="inlineStr">
        <is>
          <t>材料牌号</t>
        </is>
      </c>
      <c r="D4" s="3" t="inlineStr">
        <is>
          <t>单位</t>
        </is>
      </c>
      <c r="E4" s="3" t="inlineStr">
        <is>
          <t>用量</t>
        </is>
      </c>
      <c r="F4" s="3" t="inlineStr">
        <is>
          <t>单价(¥)</t>
        </is>
      </c>
      <c r="G4" s="3" t="inlineStr">
        <is>
          <t>小计(¥)</t>
        </is>
      </c>
    </row>
    <row r="5">
      <c r="A5" s="4" t="n">
        <v>1</v>
      </c>
      <c r="B5" s="4" t="inlineStr">
        <is>
          <t>Damper外壳 (Capot)</t>
        </is>
      </c>
      <c r="C5" s="4" t="inlineStr">
        <is>
          <t>PA66+PA6</t>
        </is>
      </c>
      <c r="D5" s="4" t="inlineStr">
        <is>
          <t>kg</t>
        </is>
      </c>
      <c r="E5" s="4" t="n">
        <v>0.012</v>
      </c>
      <c r="F5" s="4" t="n">
        <v>28</v>
      </c>
      <c r="G5" s="5">
        <f>E5*F5</f>
        <v/>
      </c>
    </row>
    <row r="6">
      <c r="A6" s="4" t="n">
        <v>2</v>
      </c>
      <c r="B6" s="4" t="inlineStr">
        <is>
          <t>Damper堵头 (Plug)</t>
        </is>
      </c>
      <c r="C6" s="4" t="inlineStr">
        <is>
          <t>PA66 GF30</t>
        </is>
      </c>
      <c r="D6" s="4" t="inlineStr">
        <is>
          <t>kg</t>
        </is>
      </c>
      <c r="E6" s="4" t="n">
        <v>0.005</v>
      </c>
      <c r="F6" s="4" t="n">
        <v>28</v>
      </c>
      <c r="G6" s="5">
        <f>E6*F6</f>
        <v/>
      </c>
    </row>
    <row r="7">
      <c r="A7" s="4" t="n">
        <v>3</v>
      </c>
      <c r="B7" s="4" t="inlineStr">
        <is>
          <t>Damper阻尼器体</t>
        </is>
      </c>
      <c r="C7" s="4" t="inlineStr">
        <is>
          <t>PA66 GF30</t>
        </is>
      </c>
      <c r="D7" s="4" t="inlineStr">
        <is>
          <t>kg</t>
        </is>
      </c>
      <c r="E7" s="4" t="n">
        <v>0.008</v>
      </c>
      <c r="F7" s="4" t="n">
        <v>28</v>
      </c>
      <c r="G7" s="5">
        <f>E7*F7</f>
        <v/>
      </c>
    </row>
    <row r="8">
      <c r="A8" s="4" t="n">
        <v>4</v>
      </c>
      <c r="B8" s="4" t="inlineStr">
        <is>
          <t>Damper弹簧</t>
        </is>
      </c>
      <c r="C8" s="4" t="inlineStr">
        <is>
          <t>弹簧钢丝 SWP-B</t>
        </is>
      </c>
      <c r="D8" s="4" t="inlineStr">
        <is>
          <t>kg</t>
        </is>
      </c>
      <c r="E8" s="4" t="n">
        <v>0.003</v>
      </c>
      <c r="F8" s="4" t="n">
        <v>45</v>
      </c>
      <c r="G8" s="5">
        <f>E8*F8</f>
        <v/>
      </c>
    </row>
    <row r="9">
      <c r="A9" s="4" t="n">
        <v>5</v>
      </c>
      <c r="B9" s="4" t="inlineStr">
        <is>
          <t>Damper膜片 (Membrane)</t>
        </is>
      </c>
      <c r="C9" s="4" t="inlineStr">
        <is>
          <t>54U6002+AgN91S</t>
        </is>
      </c>
      <c r="D9" s="4" t="inlineStr">
        <is>
          <t>件</t>
        </is>
      </c>
      <c r="E9" s="4" t="n">
        <v>1</v>
      </c>
      <c r="F9" s="4" t="n">
        <v>0</v>
      </c>
      <c r="G9" s="5">
        <f>E9*F9</f>
        <v/>
      </c>
    </row>
    <row r="10">
      <c r="A10" s="4" t="n">
        <v>6</v>
      </c>
      <c r="B10" s="4" t="inlineStr">
        <is>
          <t>PA12管路 (φ8×10)</t>
        </is>
      </c>
      <c r="C10" s="4" t="inlineStr">
        <is>
          <t>PA12 Rilsan AMNO</t>
        </is>
      </c>
      <c r="D10" s="4" t="inlineStr">
        <is>
          <t>m</t>
        </is>
      </c>
      <c r="E10" s="4" t="n">
        <v>0.8</v>
      </c>
      <c r="F10" s="4" t="n">
        <v>65</v>
      </c>
      <c r="G10" s="5">
        <f>E10*F10</f>
        <v/>
      </c>
    </row>
    <row r="11">
      <c r="A11" s="4" t="n">
        <v>7</v>
      </c>
      <c r="B11" s="4" t="inlineStr">
        <is>
          <t>QC快插接头×2</t>
        </is>
      </c>
      <c r="C11" s="4" t="inlineStr">
        <is>
          <t>POM Delrin 500P</t>
        </is>
      </c>
      <c r="D11" s="4" t="inlineStr">
        <is>
          <t>kg</t>
        </is>
      </c>
      <c r="E11" s="4" t="n">
        <v>0.015</v>
      </c>
      <c r="F11" s="4" t="n">
        <v>32</v>
      </c>
      <c r="G11" s="5">
        <f>E11*F11</f>
        <v/>
      </c>
    </row>
    <row r="12">
      <c r="A12" s="4" t="n">
        <v>8</v>
      </c>
      <c r="B12" s="4" t="inlineStr">
        <is>
          <t>O-Ring (燃油侧FKM)</t>
        </is>
      </c>
      <c r="C12" s="4" t="inlineStr">
        <is>
          <t>FKM 75A</t>
        </is>
      </c>
      <c r="D12" s="4" t="inlineStr">
        <is>
          <t>件</t>
        </is>
      </c>
      <c r="E12" s="4" t="n">
        <v>2</v>
      </c>
      <c r="F12" s="4" t="n">
        <v>0</v>
      </c>
      <c r="G12" s="5">
        <f>E12*F12</f>
        <v/>
      </c>
    </row>
    <row r="13">
      <c r="A13" s="4" t="n">
        <v>9</v>
      </c>
      <c r="B13" s="4" t="inlineStr">
        <is>
          <t>O-Ring (外部FVMQ)</t>
        </is>
      </c>
      <c r="C13" s="4" t="inlineStr">
        <is>
          <t>FVMQ</t>
        </is>
      </c>
      <c r="D13" s="4" t="inlineStr">
        <is>
          <t>件</t>
        </is>
      </c>
      <c r="E13" s="4" t="n">
        <v>2</v>
      </c>
      <c r="F13" s="4" t="n">
        <v>0</v>
      </c>
      <c r="G13" s="5">
        <f>E13*F13</f>
        <v/>
      </c>
    </row>
    <row r="14">
      <c r="A14" s="4" t="n">
        <v>10</v>
      </c>
      <c r="B14" s="4" t="inlineStr">
        <is>
          <t>卡扣/固定夹</t>
        </is>
      </c>
      <c r="C14" s="4" t="inlineStr">
        <is>
          <t>PA66 GF30</t>
        </is>
      </c>
      <c r="D14" s="4" t="inlineStr">
        <is>
          <t>kg</t>
        </is>
      </c>
      <c r="E14" s="4" t="n">
        <v>0.003</v>
      </c>
      <c r="F14" s="4" t="n">
        <v>28</v>
      </c>
      <c r="G14" s="5">
        <f>E14*F14</f>
        <v/>
      </c>
    </row>
    <row r="15">
      <c r="A15" s="4" t="n">
        <v>11</v>
      </c>
      <c r="B15" s="4" t="inlineStr">
        <is>
          <t>波纹保护套管</t>
        </is>
      </c>
      <c r="C15" s="4" t="inlineStr">
        <is>
          <t>PA12 φ12</t>
        </is>
      </c>
      <c r="D15" s="4" t="inlineStr">
        <is>
          <t>m</t>
        </is>
      </c>
      <c r="E15" s="4" t="n">
        <v>0.3</v>
      </c>
      <c r="F15" s="4" t="n">
        <v>3.8</v>
      </c>
      <c r="G15" s="5">
        <f>E15*F15</f>
        <v/>
      </c>
    </row>
    <row r="16">
      <c r="E16" s="1" t="inlineStr">
        <is>
          <t>材料小计</t>
        </is>
      </c>
      <c r="G16" s="6">
        <f>SUM(G5:G15)</f>
        <v/>
      </c>
    </row>
    <row r="18">
      <c r="A18" s="2" t="inlineStr">
        <is>
          <t>二、加工成本</t>
        </is>
      </c>
    </row>
    <row r="19">
      <c r="A19" s="3" t="inlineStr">
        <is>
          <t>序号</t>
        </is>
      </c>
      <c r="B19" s="3" t="inlineStr">
        <is>
          <t>工序</t>
        </is>
      </c>
      <c r="C19" s="3" t="inlineStr">
        <is>
          <t>设备</t>
        </is>
      </c>
      <c r="D19" s="3" t="inlineStr">
        <is>
          <t>时间(min)</t>
        </is>
      </c>
      <c r="E19" s="3" t="inlineStr">
        <is>
          <t>费率(¥/min)</t>
        </is>
      </c>
      <c r="F19" s="3" t="inlineStr">
        <is>
          <t>小计(¥)</t>
        </is>
      </c>
      <c r="G19" s="3" t="inlineStr">
        <is>
          <t>备注</t>
        </is>
      </c>
    </row>
    <row r="20">
      <c r="A20" s="4" t="n">
        <v>1</v>
      </c>
      <c r="B20" s="4" t="inlineStr">
        <is>
          <t>PA12管挤出</t>
        </is>
      </c>
      <c r="C20" s="4" t="inlineStr">
        <is>
          <t>挤出生产线</t>
        </is>
      </c>
      <c r="D20" s="4" t="n">
        <v>0.6</v>
      </c>
      <c r="E20" s="4" t="n">
        <v>1.2</v>
      </c>
      <c r="F20" s="5">
        <f>D20*E20</f>
        <v/>
      </c>
    </row>
    <row r="21">
      <c r="A21" s="4" t="n">
        <v>2</v>
      </c>
      <c r="B21" s="4" t="inlineStr">
        <is>
          <t>注塑-Damper件(3件)</t>
        </is>
      </c>
      <c r="C21" s="4" t="inlineStr">
        <is>
          <t>海天160T</t>
        </is>
      </c>
      <c r="D21" s="4" t="n">
        <v>0.9</v>
      </c>
      <c r="E21" s="4" t="n">
        <v>1.5</v>
      </c>
      <c r="F21" s="5">
        <f>D21*E21</f>
        <v/>
      </c>
    </row>
    <row r="22">
      <c r="A22" s="4" t="n">
        <v>3</v>
      </c>
      <c r="B22" s="4" t="inlineStr">
        <is>
          <t>注塑-QC接头(2件)</t>
        </is>
      </c>
      <c r="C22" s="4" t="inlineStr">
        <is>
          <t>海天80T</t>
        </is>
      </c>
      <c r="D22" s="4" t="n">
        <v>0.45</v>
      </c>
      <c r="E22" s="4" t="n">
        <v>1.5</v>
      </c>
      <c r="F22" s="5">
        <f>D22*E22</f>
        <v/>
      </c>
    </row>
    <row r="23">
      <c r="A23" s="4" t="n">
        <v>4</v>
      </c>
      <c r="B23" s="4" t="inlineStr">
        <is>
          <t>注塑-卡扣</t>
        </is>
      </c>
      <c r="C23" s="4" t="inlineStr">
        <is>
          <t>海天80T</t>
        </is>
      </c>
      <c r="D23" s="4" t="n">
        <v>0.2</v>
      </c>
      <c r="E23" s="4" t="n">
        <v>1.5</v>
      </c>
      <c r="F23" s="5">
        <f>D23*E23</f>
        <v/>
      </c>
    </row>
    <row r="24">
      <c r="A24" s="4" t="n">
        <v>5</v>
      </c>
      <c r="B24" s="4" t="inlineStr">
        <is>
          <t>管端成型</t>
        </is>
      </c>
      <c r="C24" s="4" t="inlineStr">
        <is>
          <t>管端成型机</t>
        </is>
      </c>
      <c r="D24" s="4" t="n">
        <v>0.3</v>
      </c>
      <c r="E24" s="4" t="n">
        <v>1.8</v>
      </c>
      <c r="F24" s="5">
        <f>D24*E24</f>
        <v/>
      </c>
    </row>
    <row r="25">
      <c r="A25" s="4" t="n">
        <v>6</v>
      </c>
      <c r="B25" s="4" t="inlineStr">
        <is>
          <t>超声波焊接-Damper</t>
        </is>
      </c>
      <c r="C25" s="4" t="inlineStr">
        <is>
          <t>超声波焊接机</t>
        </is>
      </c>
      <c r="D25" s="4" t="n">
        <v>0.4</v>
      </c>
      <c r="E25" s="4" t="n">
        <v>1</v>
      </c>
      <c r="F25" s="5">
        <f>D25*E25</f>
        <v/>
      </c>
    </row>
    <row r="26">
      <c r="A26" s="4" t="n">
        <v>7</v>
      </c>
      <c r="B26" s="4" t="inlineStr">
        <is>
          <t>Damper子装配</t>
        </is>
      </c>
      <c r="C26" s="4" t="inlineStr">
        <is>
          <t>半自动线</t>
        </is>
      </c>
      <c r="D26" s="4" t="n">
        <v>0.5</v>
      </c>
      <c r="E26" s="4" t="n">
        <v>0.8</v>
      </c>
      <c r="F26" s="5">
        <f>D26*E26</f>
        <v/>
      </c>
    </row>
    <row r="27">
      <c r="A27" s="4" t="n">
        <v>8</v>
      </c>
      <c r="B27" s="4" t="inlineStr">
        <is>
          <t>总成装配</t>
        </is>
      </c>
      <c r="C27" s="4" t="inlineStr">
        <is>
          <t>半自动线</t>
        </is>
      </c>
      <c r="D27" s="4" t="n">
        <v>0.8</v>
      </c>
      <c r="E27" s="4" t="n">
        <v>0.8</v>
      </c>
      <c r="F27" s="5">
        <f>D27*E27</f>
        <v/>
      </c>
    </row>
    <row r="28">
      <c r="A28" s="4" t="n">
        <v>9</v>
      </c>
      <c r="B28" s="4" t="inlineStr">
        <is>
          <t>清洗</t>
        </is>
      </c>
      <c r="C28" s="4" t="inlineStr">
        <is>
          <t>超声波清洗</t>
        </is>
      </c>
      <c r="D28" s="4" t="n">
        <v>0.3</v>
      </c>
      <c r="E28" s="4" t="n">
        <v>0.6</v>
      </c>
      <c r="F28" s="5">
        <f>D28*E28</f>
        <v/>
      </c>
    </row>
    <row r="29">
      <c r="A29" s="4" t="n">
        <v>10</v>
      </c>
      <c r="B29" s="4" t="inlineStr">
        <is>
          <t>气密检测(100%)</t>
        </is>
      </c>
      <c r="C29" s="4" t="inlineStr">
        <is>
          <t>差压检漏仪</t>
        </is>
      </c>
      <c r="D29" s="4" t="n">
        <v>0.3</v>
      </c>
      <c r="E29" s="4" t="n">
        <v>0.5</v>
      </c>
      <c r="F29" s="5">
        <f>D29*E29</f>
        <v/>
      </c>
    </row>
    <row r="30">
      <c r="A30" s="4" t="n">
        <v>11</v>
      </c>
      <c r="B30" s="4" t="inlineStr">
        <is>
          <t>VLD泄漏检测(100%)</t>
        </is>
      </c>
      <c r="C30" s="4" t="inlineStr">
        <is>
          <t>氦检漏仪</t>
        </is>
      </c>
      <c r="D30" s="4" t="n">
        <v>0.4</v>
      </c>
      <c r="E30" s="4" t="n">
        <v>0.5</v>
      </c>
      <c r="F30" s="5">
        <f>D30*E30</f>
        <v/>
      </c>
    </row>
    <row r="31">
      <c r="A31" s="4" t="n">
        <v>12</v>
      </c>
      <c r="B31" s="4" t="inlineStr">
        <is>
          <t>激光打标</t>
        </is>
      </c>
      <c r="C31" s="4" t="inlineStr">
        <is>
          <t>光纤激光机</t>
        </is>
      </c>
      <c r="D31" s="4" t="n">
        <v>0.15</v>
      </c>
      <c r="E31" s="4" t="n">
        <v>0.3</v>
      </c>
      <c r="F31" s="5">
        <f>D31*E31</f>
        <v/>
      </c>
    </row>
    <row r="32">
      <c r="A32" s="4" t="n">
        <v>13</v>
      </c>
      <c r="B32" s="4" t="inlineStr">
        <is>
          <t>外观检查</t>
        </is>
      </c>
      <c r="C32" s="4" t="inlineStr">
        <is>
          <t>目视</t>
        </is>
      </c>
      <c r="D32" s="4" t="n">
        <v>0.2</v>
      </c>
      <c r="E32" s="4" t="n">
        <v>0.4</v>
      </c>
      <c r="F32" s="5">
        <f>D32*E32</f>
        <v/>
      </c>
    </row>
    <row r="33">
      <c r="A33" s="4" t="n">
        <v>14</v>
      </c>
      <c r="B33" s="4" t="inlineStr">
        <is>
          <t>包装</t>
        </is>
      </c>
      <c r="C33" s="4" t="inlineStr">
        <is>
          <t>手工</t>
        </is>
      </c>
      <c r="D33" s="4" t="n">
        <v>0.3</v>
      </c>
      <c r="E33" s="4" t="n">
        <v>0.2</v>
      </c>
      <c r="F33" s="5">
        <f>D33*E33</f>
        <v/>
      </c>
    </row>
    <row r="34">
      <c r="D34" s="1" t="inlineStr">
        <is>
          <t>加工小计</t>
        </is>
      </c>
      <c r="F34" s="6">
        <f>SUM(F20:F33)</f>
        <v/>
      </c>
    </row>
    <row r="36">
      <c r="A36" s="2" t="inlineStr">
        <is>
          <t>三、其他费用</t>
        </is>
      </c>
    </row>
    <row r="37">
      <c r="A37" s="3" t="inlineStr">
        <is>
          <t>序号</t>
        </is>
      </c>
      <c r="B37" s="3" t="inlineStr">
        <is>
          <t>项目</t>
        </is>
      </c>
      <c r="C37" s="3" t="inlineStr">
        <is>
          <t>金额(¥)</t>
        </is>
      </c>
      <c r="D37" s="3" t="inlineStr">
        <is>
          <t>分摊方式</t>
        </is>
      </c>
      <c r="E37" s="3" t="inlineStr">
        <is>
          <t>备注</t>
        </is>
      </c>
    </row>
    <row r="38">
      <c r="A38" s="7" t="n">
        <v>1</v>
      </c>
      <c r="B38" s="7" t="inlineStr">
        <is>
          <t>注塑模具-Damper(3腔)</t>
        </is>
      </c>
      <c r="C38" s="7" t="n">
        <v>240000</v>
      </c>
      <c r="D38" s="7" t="inlineStr">
        <is>
          <t>50万件分摊</t>
        </is>
      </c>
      <c r="E38" s="7" t="inlineStr">
        <is>
          <t>Capot+Plug+Body各1模</t>
        </is>
      </c>
    </row>
    <row r="39">
      <c r="A39" s="7" t="n">
        <v>2</v>
      </c>
      <c r="B39" s="7" t="inlineStr">
        <is>
          <t>注塑模具-QC接头</t>
        </is>
      </c>
      <c r="C39" s="7" t="n">
        <v>80000</v>
      </c>
      <c r="D39" s="7" t="inlineStr">
        <is>
          <t>50万件分摊</t>
        </is>
      </c>
      <c r="E39" s="7" t="inlineStr"/>
    </row>
    <row r="40">
      <c r="A40" s="7" t="n">
        <v>3</v>
      </c>
      <c r="B40" s="7" t="inlineStr">
        <is>
          <t>注塑模具-卡扣</t>
        </is>
      </c>
      <c r="C40" s="7" t="n">
        <v>80000</v>
      </c>
      <c r="D40" s="7" t="inlineStr">
        <is>
          <t>50万件分摊</t>
        </is>
      </c>
      <c r="E40" s="7" t="inlineStr"/>
    </row>
    <row r="41">
      <c r="A41" s="7" t="n">
        <v>4</v>
      </c>
      <c r="B41" s="7" t="inlineStr">
        <is>
          <t>弯管夹具</t>
        </is>
      </c>
      <c r="C41" s="7" t="n">
        <v>15000</v>
      </c>
      <c r="D41" s="7" t="inlineStr">
        <is>
          <t>—</t>
        </is>
      </c>
      <c r="E41" s="7" t="inlineStr">
        <is>
          <t>管型专用</t>
        </is>
      </c>
    </row>
    <row r="42">
      <c r="A42" s="7" t="n">
        <v>5</v>
      </c>
      <c r="B42" s="7" t="inlineStr">
        <is>
          <t>装配工装</t>
        </is>
      </c>
      <c r="C42" s="7" t="n">
        <v>25000</v>
      </c>
      <c r="D42" s="7" t="inlineStr">
        <is>
          <t>—</t>
        </is>
      </c>
      <c r="E42" s="7" t="inlineStr"/>
    </row>
    <row r="43">
      <c r="A43" s="7" t="n">
        <v>6</v>
      </c>
      <c r="B43" s="7" t="inlineStr">
        <is>
          <t>气密检具</t>
        </is>
      </c>
      <c r="C43" s="7" t="n">
        <v>35000</v>
      </c>
      <c r="D43" s="7" t="inlineStr">
        <is>
          <t>—</t>
        </is>
      </c>
      <c r="E43" s="7" t="inlineStr">
        <is>
          <t>含密封夹具</t>
        </is>
      </c>
    </row>
    <row r="44">
      <c r="A44" s="7" t="n">
        <v>7</v>
      </c>
      <c r="B44" s="7" t="inlineStr">
        <is>
          <t>检具(Go/NoGo)</t>
        </is>
      </c>
      <c r="C44" s="7" t="n">
        <v>40000</v>
      </c>
      <c r="D44" s="7" t="inlineStr">
        <is>
          <t>—</t>
        </is>
      </c>
      <c r="E44" s="7" t="inlineStr">
        <is>
          <t>关键尺寸2套</t>
        </is>
      </c>
    </row>
    <row r="46">
      <c r="A46" s="2" t="inlineStr">
        <is>
          <t>四、成本汇总</t>
        </is>
      </c>
    </row>
    <row r="47">
      <c r="B47" s="7" t="inlineStr">
        <is>
          <t>材料成本</t>
        </is>
      </c>
      <c r="C47" s="8">
        <f>G16</f>
        <v/>
      </c>
    </row>
    <row r="48">
      <c r="B48" s="7" t="inlineStr">
        <is>
          <t>废料成本</t>
        </is>
      </c>
      <c r="C48" s="8">
        <f>G16*0.03</f>
        <v/>
      </c>
    </row>
    <row r="49">
      <c r="B49" s="7" t="inlineStr">
        <is>
          <t>加工成本</t>
        </is>
      </c>
      <c r="C49" s="8">
        <f>F34</f>
        <v/>
      </c>
    </row>
    <row r="50">
      <c r="B50" s="7" t="inlineStr">
        <is>
          <t>管理费</t>
        </is>
      </c>
      <c r="C50" s="8">
        <f>F34*0.15</f>
        <v/>
      </c>
    </row>
    <row r="51">
      <c r="B51" s="7" t="inlineStr">
        <is>
          <t>利润</t>
        </is>
      </c>
      <c r="C51" s="8">
        <f>(G16+F34)*0.08</f>
        <v/>
      </c>
    </row>
    <row r="52">
      <c r="B52" s="9" t="inlineStr">
        <is>
          <t>单件总成本</t>
        </is>
      </c>
      <c r="C52" s="10">
        <f>SUM(C47:C51)</f>
        <v/>
      </c>
    </row>
  </sheetData>
  <mergeCells count="4">
    <mergeCell ref="A36:G36"/>
    <mergeCell ref="A3:G3"/>
    <mergeCell ref="A46:G46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2026-03-02T12:23:14Z</dcterms:created>
  <dcterms:modified xmlns:dcterms="http://purl.org/dc/terms/" xmlns:xsi="http://www.w3.org/2001/XMLSchema-instance" xsi:type="dcterms:W3CDTF">2026-03-02T12:23:14Z</dcterms:modified>
</cp:coreProperties>
</file>