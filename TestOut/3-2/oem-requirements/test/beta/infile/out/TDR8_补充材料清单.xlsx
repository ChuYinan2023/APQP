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补充材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 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164" fontId="2" fillId="4" borderId="1" pivotButton="0" quotePrefix="0" xfId="0"/>
    <xf numFmtId="164" fontId="2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25" customWidth="1" min="4" max="4"/>
    <col width="12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5" customWidth="1" min="11" max="11"/>
  </cols>
  <sheetData>
    <row r="1" ht="30" customHeight="1">
      <c r="A1" s="1" t="inlineStr">
        <is>
          <t>序号</t>
        </is>
      </c>
      <c r="B1" s="1" t="inlineStr">
        <is>
          <t>测试项</t>
        </is>
      </c>
      <c r="C1" s="1" t="inlineStr">
        <is>
          <t>测试类型</t>
        </is>
      </c>
      <c r="D1" s="1" t="inlineStr">
        <is>
          <t>验收标准</t>
        </is>
      </c>
      <c r="E1" s="1" t="inlineStr">
        <is>
          <t>样件类型</t>
        </is>
      </c>
      <c r="F1" s="1" t="inlineStr">
        <is>
          <t>DV数量</t>
        </is>
      </c>
      <c r="G1" s="1" t="inlineStr">
        <is>
          <t>PV数量</t>
        </is>
      </c>
      <c r="H1" s="1" t="inlineStr">
        <is>
          <t>合计数量</t>
        </is>
      </c>
      <c r="I1" s="1" t="inlineStr">
        <is>
          <t>单价(¥)</t>
        </is>
      </c>
      <c r="J1" s="1" t="inlineStr">
        <is>
          <t>费用小计(¥)</t>
        </is>
      </c>
      <c r="K1" s="1" t="inlineStr">
        <is>
          <t>备注</t>
        </is>
      </c>
    </row>
    <row r="2">
      <c r="A2" s="2" t="n">
        <v>1</v>
      </c>
      <c r="B2" s="2" t="inlineStr">
        <is>
          <t>化学耐受 (§5.1)</t>
        </is>
      </c>
      <c r="C2" s="2" t="inlineStr">
        <is>
          <t>DV+PV</t>
        </is>
      </c>
      <c r="D2" s="2" t="inlineStr">
        <is>
          <t>耐汽车化学品, 试后满足泄漏/爆破</t>
        </is>
      </c>
      <c r="E2" s="2" t="inlineStr">
        <is>
          <t>成品总成</t>
        </is>
      </c>
      <c r="F2" s="2" t="n">
        <v>15</v>
      </c>
      <c r="G2" s="2" t="n">
        <v>15</v>
      </c>
      <c r="H2" s="3">
        <f>F2+G2</f>
        <v/>
      </c>
      <c r="I2" s="4" t="n">
        <v>0</v>
      </c>
      <c r="J2" s="5">
        <f>H2*I2</f>
        <v/>
      </c>
      <c r="K2" s="6" t="inlineStr">
        <is>
          <t>单价待TDR1确定</t>
        </is>
      </c>
    </row>
    <row r="3">
      <c r="A3" s="2" t="n">
        <v>2</v>
      </c>
      <c r="B3" s="2" t="inlineStr">
        <is>
          <t>腐蚀 (§5.3)</t>
        </is>
      </c>
      <c r="C3" s="2" t="inlineStr">
        <is>
          <t>DV+PV</t>
        </is>
      </c>
      <c r="D3" s="2" t="inlineStr">
        <is>
          <t>15年寿命, per CS.00251</t>
        </is>
      </c>
      <c r="E3" s="2" t="inlineStr">
        <is>
          <t>成品总成</t>
        </is>
      </c>
      <c r="F3" s="2" t="n">
        <v>15</v>
      </c>
      <c r="G3" s="2" t="n">
        <v>15</v>
      </c>
      <c r="H3" s="3">
        <f>F3+G3</f>
        <v/>
      </c>
      <c r="I3" s="4" t="n">
        <v>0</v>
      </c>
      <c r="J3" s="5">
        <f>H3*I3</f>
        <v/>
      </c>
      <c r="K3" s="6" t="inlineStr"/>
    </row>
    <row r="4">
      <c r="A4" s="2" t="n">
        <v>3</v>
      </c>
      <c r="B4" s="2" t="inlineStr">
        <is>
          <t>氯化物耐受 (§5.4)</t>
        </is>
      </c>
      <c r="C4" s="2" t="inlineStr">
        <is>
          <t>DV+PV</t>
        </is>
      </c>
      <c r="D4" s="2" t="inlineStr">
        <is>
          <t>CaCl2 50%, 60°C, 200h</t>
        </is>
      </c>
      <c r="E4" s="2" t="inlineStr">
        <is>
          <t>成品总成</t>
        </is>
      </c>
      <c r="F4" s="2" t="n">
        <v>15</v>
      </c>
      <c r="G4" s="2" t="n">
        <v>15</v>
      </c>
      <c r="H4" s="3">
        <f>F4+G4</f>
        <v/>
      </c>
      <c r="I4" s="4" t="n">
        <v>0</v>
      </c>
      <c r="J4" s="5">
        <f>H4*I4</f>
        <v/>
      </c>
      <c r="K4" s="6" t="inlineStr"/>
    </row>
    <row r="5">
      <c r="A5" s="2" t="n">
        <v>4</v>
      </c>
      <c r="B5" s="2" t="inlineStr">
        <is>
          <t>接头插入力 (§6.2.4)</t>
        </is>
      </c>
      <c r="C5" s="2" t="inlineStr">
        <is>
          <t>DV+PV</t>
        </is>
      </c>
      <c r="D5" s="2" t="inlineStr">
        <is>
          <t>&lt;11mm≤67N; ≥11mm≤111N</t>
        </is>
      </c>
      <c r="E5" s="2" t="inlineStr">
        <is>
          <t>成品总成</t>
        </is>
      </c>
      <c r="F5" s="2" t="n">
        <v>15</v>
      </c>
      <c r="G5" s="2" t="n">
        <v>15</v>
      </c>
      <c r="H5" s="3">
        <f>F5+G5</f>
        <v/>
      </c>
      <c r="I5" s="4" t="n">
        <v>0</v>
      </c>
      <c r="J5" s="5">
        <f>H5*I5</f>
        <v/>
      </c>
      <c r="K5" s="6" t="inlineStr"/>
    </row>
    <row r="6">
      <c r="A6" s="2" t="n">
        <v>5</v>
      </c>
      <c r="B6" s="2" t="inlineStr">
        <is>
          <t>静电消散 (§6.2.5)</t>
        </is>
      </c>
      <c r="C6" s="2" t="inlineStr">
        <is>
          <t>DV+PV</t>
        </is>
      </c>
      <c r="D6" s="2" t="inlineStr">
        <is>
          <t>per SAE J1645</t>
        </is>
      </c>
      <c r="E6" s="2" t="inlineStr">
        <is>
          <t>成品总成</t>
        </is>
      </c>
      <c r="F6" s="2" t="n">
        <v>15</v>
      </c>
      <c r="G6" s="2" t="n">
        <v>15</v>
      </c>
      <c r="H6" s="3">
        <f>F6+G6</f>
        <v/>
      </c>
      <c r="I6" s="4" t="n">
        <v>0</v>
      </c>
      <c r="J6" s="5">
        <f>H6*I6</f>
        <v/>
      </c>
      <c r="K6" s="6" t="inlineStr">
        <is>
          <t>CC&lt;S&gt;</t>
        </is>
      </c>
    </row>
    <row r="7">
      <c r="A7" s="2" t="n">
        <v>6</v>
      </c>
      <c r="B7" s="2" t="inlineStr">
        <is>
          <t>卡扣插拔 (§6.3.4)</t>
        </is>
      </c>
      <c r="C7" s="2" t="inlineStr">
        <is>
          <t>DV+PV</t>
        </is>
      </c>
      <c r="D7" s="2" t="inlineStr">
        <is>
          <t>安装≤20N/40N; 拆卸≥100N</t>
        </is>
      </c>
      <c r="E7" s="2" t="inlineStr">
        <is>
          <t>成品总成</t>
        </is>
      </c>
      <c r="F7" s="2" t="n">
        <v>15</v>
      </c>
      <c r="G7" s="2" t="n">
        <v>15</v>
      </c>
      <c r="H7" s="3">
        <f>F7+G7</f>
        <v/>
      </c>
      <c r="I7" s="4" t="n">
        <v>0</v>
      </c>
      <c r="J7" s="5">
        <f>H7*I7</f>
        <v/>
      </c>
      <c r="K7" s="6" t="inlineStr"/>
    </row>
    <row r="8">
      <c r="A8" s="2" t="n">
        <v>7</v>
      </c>
      <c r="B8" s="2" t="inlineStr">
        <is>
          <t>拉脱力 (§6.3.5)</t>
        </is>
      </c>
      <c r="C8" s="2" t="inlineStr">
        <is>
          <t>DV+PV</t>
        </is>
      </c>
      <c r="D8" s="2" t="inlineStr">
        <is>
          <t>RT燃油管≥450N</t>
        </is>
      </c>
      <c r="E8" s="2" t="inlineStr">
        <is>
          <t>成品总成</t>
        </is>
      </c>
      <c r="F8" s="2" t="n">
        <v>15</v>
      </c>
      <c r="G8" s="2" t="n">
        <v>15</v>
      </c>
      <c r="H8" s="3">
        <f>F8+G8</f>
        <v/>
      </c>
      <c r="I8" s="4" t="n">
        <v>0</v>
      </c>
      <c r="J8" s="5">
        <f>H8*I8</f>
        <v/>
      </c>
      <c r="K8" s="6" t="inlineStr"/>
    </row>
    <row r="9">
      <c r="A9" s="2" t="n">
        <v>8</v>
      </c>
      <c r="B9" s="2" t="inlineStr">
        <is>
          <t>燃油耐受 (§6.3.6)</t>
        </is>
      </c>
      <c r="C9" s="2" t="inlineStr">
        <is>
          <t>DV+PV</t>
        </is>
      </c>
      <c r="D9" s="2" t="inlineStr">
        <is>
          <t>1048h循环, 柴油C5/C6/C7</t>
        </is>
      </c>
      <c r="E9" s="2" t="inlineStr">
        <is>
          <t>成品总成</t>
        </is>
      </c>
      <c r="F9" s="2" t="n">
        <v>15</v>
      </c>
      <c r="G9" s="2" t="n">
        <v>15</v>
      </c>
      <c r="H9" s="3">
        <f>F9+G9</f>
        <v/>
      </c>
      <c r="I9" s="4" t="n">
        <v>0</v>
      </c>
      <c r="J9" s="5">
        <f>H9*I9</f>
        <v/>
      </c>
      <c r="K9" s="6" t="inlineStr">
        <is>
          <t>需SD-11597</t>
        </is>
      </c>
    </row>
    <row r="10">
      <c r="A10" s="2" t="n">
        <v>9</v>
      </c>
      <c r="B10" s="2" t="inlineStr">
        <is>
          <t>尺寸验证 (§6.3.8)</t>
        </is>
      </c>
      <c r="C10" s="2" t="inlineStr">
        <is>
          <t>DV+PV</t>
        </is>
      </c>
      <c r="D10" s="2" t="inlineStr">
        <is>
          <t>per QR-10012</t>
        </is>
      </c>
      <c r="E10" s="2" t="inlineStr">
        <is>
          <t>成品总成</t>
        </is>
      </c>
      <c r="F10" s="2" t="n">
        <v>15</v>
      </c>
      <c r="G10" s="2" t="n">
        <v>15</v>
      </c>
      <c r="H10" s="3">
        <f>F10+G10</f>
        <v/>
      </c>
      <c r="I10" s="4" t="n">
        <v>0</v>
      </c>
      <c r="J10" s="5">
        <f>H10*I10</f>
        <v/>
      </c>
      <c r="K10" s="6" t="inlineStr"/>
    </row>
    <row r="11">
      <c r="A11" s="2" t="n">
        <v>10</v>
      </c>
      <c r="B11" s="2" t="inlineStr">
        <is>
          <t>成型完整性 (§6.3.9)</t>
        </is>
      </c>
      <c r="C11" s="2" t="inlineStr">
        <is>
          <t>DV+PV</t>
        </is>
      </c>
      <c r="D11" s="2" t="inlineStr">
        <is>
          <t>90°C 1h弯角变化≤3°</t>
        </is>
      </c>
      <c r="E11" s="2" t="inlineStr">
        <is>
          <t>成品总成</t>
        </is>
      </c>
      <c r="F11" s="2" t="n">
        <v>15</v>
      </c>
      <c r="G11" s="2" t="n">
        <v>15</v>
      </c>
      <c r="H11" s="3">
        <f>F11+G11</f>
        <v/>
      </c>
      <c r="I11" s="4" t="n">
        <v>0</v>
      </c>
      <c r="J11" s="5">
        <f>H11*I11</f>
        <v/>
      </c>
      <c r="K11" s="6" t="inlineStr"/>
    </row>
    <row r="12">
      <c r="A12" s="2" t="n">
        <v>11</v>
      </c>
      <c r="B12" s="2" t="inlineStr">
        <is>
          <t>清洁度 (§7.1)</t>
        </is>
      </c>
      <c r="C12" s="2" t="inlineStr">
        <is>
          <t>DV+PV</t>
        </is>
      </c>
      <c r="D12" s="2" t="inlineStr">
        <is>
          <t>≤1.5 mg/dm²</t>
        </is>
      </c>
      <c r="E12" s="2" t="inlineStr">
        <is>
          <t>成品总成</t>
        </is>
      </c>
      <c r="F12" s="2" t="n">
        <v>15</v>
      </c>
      <c r="G12" s="2" t="n">
        <v>15</v>
      </c>
      <c r="H12" s="3">
        <f>F12+G12</f>
        <v/>
      </c>
      <c r="I12" s="4" t="n">
        <v>0</v>
      </c>
      <c r="J12" s="5">
        <f>H12*I12</f>
        <v/>
      </c>
      <c r="K12" s="6" t="inlineStr">
        <is>
          <t>ISO 16232</t>
        </is>
      </c>
    </row>
    <row r="13">
      <c r="A13" s="2" t="n">
        <v>12</v>
      </c>
      <c r="B13" s="2" t="inlineStr">
        <is>
          <t>泄漏VLD (§7.2)</t>
        </is>
      </c>
      <c r="C13" s="2" t="inlineStr">
        <is>
          <t>DV+PV</t>
        </is>
      </c>
      <c r="D13" s="2" t="inlineStr">
        <is>
          <t>15μm×3mm, 150PSI</t>
        </is>
      </c>
      <c r="E13" s="2" t="inlineStr">
        <is>
          <t>成品总成</t>
        </is>
      </c>
      <c r="F13" s="2" t="n">
        <v>15</v>
      </c>
      <c r="G13" s="2" t="n">
        <v>15</v>
      </c>
      <c r="H13" s="3">
        <f>F13+G13</f>
        <v/>
      </c>
      <c r="I13" s="4" t="n">
        <v>0</v>
      </c>
      <c r="J13" s="5">
        <f>H13*I13</f>
        <v/>
      </c>
      <c r="K13" s="6" t="inlineStr">
        <is>
          <t>CC&lt;S,E&gt;</t>
        </is>
      </c>
    </row>
    <row r="14">
      <c r="A14" s="2" t="n">
        <v>13</v>
      </c>
      <c r="B14" s="2" t="inlineStr">
        <is>
          <t>压降/流阻 (§7.3)</t>
        </is>
      </c>
      <c r="C14" s="2" t="inlineStr">
        <is>
          <t>DV+PV</t>
        </is>
      </c>
      <c r="D14" s="2" t="inlineStr">
        <is>
          <t>液体≤400kPa</t>
        </is>
      </c>
      <c r="E14" s="2" t="inlineStr">
        <is>
          <t>成品总成</t>
        </is>
      </c>
      <c r="F14" s="2" t="n">
        <v>15</v>
      </c>
      <c r="G14" s="2" t="n">
        <v>15</v>
      </c>
      <c r="H14" s="3">
        <f>F14+G14</f>
        <v/>
      </c>
      <c r="I14" s="4" t="n">
        <v>0</v>
      </c>
      <c r="J14" s="5">
        <f>H14*I14</f>
        <v/>
      </c>
      <c r="K14" s="6" t="inlineStr"/>
    </row>
    <row r="15">
      <c r="A15" s="2" t="n">
        <v>14</v>
      </c>
      <c r="B15" s="2" t="inlineStr">
        <is>
          <t>爆破 (§7.4)</t>
        </is>
      </c>
      <c r="C15" s="2" t="inlineStr">
        <is>
          <t>DV+PV</t>
        </is>
      </c>
      <c r="D15" s="2" t="inlineStr">
        <is>
          <t>RT≥8×WP; 115°C≥3×WP</t>
        </is>
      </c>
      <c r="E15" s="2" t="inlineStr">
        <is>
          <t>成品总成</t>
        </is>
      </c>
      <c r="F15" s="2" t="n">
        <v>15</v>
      </c>
      <c r="G15" s="2" t="n">
        <v>15</v>
      </c>
      <c r="H15" s="3">
        <f>F15+G15</f>
        <v/>
      </c>
      <c r="I15" s="4" t="n">
        <v>0</v>
      </c>
      <c r="J15" s="5">
        <f>H15*I15</f>
        <v/>
      </c>
      <c r="K15" s="6" t="inlineStr"/>
    </row>
    <row r="16">
      <c r="A16" s="2" t="n">
        <v>15</v>
      </c>
      <c r="B16" s="2" t="inlineStr">
        <is>
          <t>MiniSHED (§8.2)</t>
        </is>
      </c>
      <c r="C16" s="2" t="inlineStr">
        <is>
          <t>DV+PV</t>
        </is>
      </c>
      <c r="D16" s="2" t="inlineStr">
        <is>
          <t>per LP.7A005</t>
        </is>
      </c>
      <c r="E16" s="2" t="inlineStr">
        <is>
          <t>成品总成</t>
        </is>
      </c>
      <c r="F16" s="2" t="n">
        <v>15</v>
      </c>
      <c r="G16" s="2" t="n">
        <v>15</v>
      </c>
      <c r="H16" s="3">
        <f>F16+G16</f>
        <v/>
      </c>
      <c r="I16" s="4" t="n">
        <v>0</v>
      </c>
      <c r="J16" s="5">
        <f>H16*I16</f>
        <v/>
      </c>
      <c r="K16" s="6" t="inlineStr">
        <is>
          <t>CC&lt;E&gt;; 委外</t>
        </is>
      </c>
    </row>
    <row r="17">
      <c r="A17" s="2" t="n">
        <v>16</v>
      </c>
      <c r="B17" s="2" t="inlineStr">
        <is>
          <t>寿命循环 (§9.3)</t>
        </is>
      </c>
      <c r="C17" s="2" t="inlineStr">
        <is>
          <t>DV+PV</t>
        </is>
      </c>
      <c r="D17" s="2" t="inlineStr">
        <is>
          <t>per SAE J2045, R95C90</t>
        </is>
      </c>
      <c r="E17" s="2" t="inlineStr">
        <is>
          <t>成品总成</t>
        </is>
      </c>
      <c r="F17" s="2" t="n">
        <v>45</v>
      </c>
      <c r="G17" s="2" t="n">
        <v>45</v>
      </c>
      <c r="H17" s="3">
        <f>F17+G17</f>
        <v/>
      </c>
      <c r="I17" s="4" t="n">
        <v>0</v>
      </c>
      <c r="J17" s="5">
        <f>H17*I17</f>
        <v/>
      </c>
      <c r="K17" s="6" t="inlineStr">
        <is>
          <t>耐久件加量</t>
        </is>
      </c>
    </row>
    <row r="18">
      <c r="A18" s="2" t="n">
        <v>17</v>
      </c>
      <c r="B18" s="2" t="inlineStr">
        <is>
          <t>振动耐久 (§9.4)</t>
        </is>
      </c>
      <c r="C18" s="2" t="inlineStr">
        <is>
          <t>DV+PV</t>
        </is>
      </c>
      <c r="D18" s="2" t="inlineStr">
        <is>
          <t>R95C90, Table 8频谱</t>
        </is>
      </c>
      <c r="E18" s="2" t="inlineStr">
        <is>
          <t>成品总成</t>
        </is>
      </c>
      <c r="F18" s="2" t="n">
        <v>45</v>
      </c>
      <c r="G18" s="2" t="n">
        <v>45</v>
      </c>
      <c r="H18" s="3">
        <f>F18+G18</f>
        <v/>
      </c>
      <c r="I18" s="4" t="n">
        <v>0</v>
      </c>
      <c r="J18" s="5">
        <f>H18*I18</f>
        <v/>
      </c>
      <c r="K18" s="6" t="inlineStr">
        <is>
          <t>委外</t>
        </is>
      </c>
    </row>
    <row r="19">
      <c r="A19" s="2" t="n">
        <v>18</v>
      </c>
      <c r="B19" s="2" t="inlineStr">
        <is>
          <t>脉冲压力 (§9.5)</t>
        </is>
      </c>
      <c r="C19" s="2" t="inlineStr">
        <is>
          <t>DV+PV</t>
        </is>
      </c>
      <c r="D19" s="2" t="inlineStr">
        <is>
          <t>P1/P2/P5, 300k~600k次</t>
        </is>
      </c>
      <c r="E19" s="2" t="inlineStr">
        <is>
          <t>成品总成</t>
        </is>
      </c>
      <c r="F19" s="2" t="n">
        <v>45</v>
      </c>
      <c r="G19" s="2" t="n">
        <v>45</v>
      </c>
      <c r="H19" s="3">
        <f>F19+G19</f>
        <v/>
      </c>
      <c r="I19" s="4" t="n">
        <v>0</v>
      </c>
      <c r="J19" s="5">
        <f>H19*I19</f>
        <v/>
      </c>
      <c r="K19" s="6" t="inlineStr">
        <is>
          <t>耐久件加量</t>
        </is>
      </c>
    </row>
    <row r="20">
      <c r="A20" s="2" t="n">
        <v>19</v>
      </c>
      <c r="B20" s="2" t="inlineStr">
        <is>
          <t>材料层 (§6.2.2)</t>
        </is>
      </c>
      <c r="C20" s="2" t="inlineStr">
        <is>
          <t>DV+PV</t>
        </is>
      </c>
      <c r="D20" s="2" t="inlineStr">
        <is>
          <t>P99C90</t>
        </is>
      </c>
      <c r="E20" s="2" t="inlineStr">
        <is>
          <t>管路截取件</t>
        </is>
      </c>
      <c r="F20" s="2" t="n">
        <v>15</v>
      </c>
      <c r="G20" s="2" t="n">
        <v>15</v>
      </c>
      <c r="H20" s="3">
        <f>F20+G20</f>
        <v/>
      </c>
      <c r="I20" s="4" t="n">
        <v>0</v>
      </c>
      <c r="J20" s="5">
        <f>H20*I20</f>
        <v/>
      </c>
      <c r="K20" s="6" t="inlineStr"/>
    </row>
    <row r="21">
      <c r="A21" s="2" t="n">
        <v>20</v>
      </c>
      <c r="B21" s="2" t="inlineStr">
        <is>
          <t>材料拉伸 (§6.2.1 T3)</t>
        </is>
      </c>
      <c r="C21" s="2" t="inlineStr">
        <is>
          <t>DV+PV</t>
        </is>
      </c>
      <c r="D21" s="2" t="inlineStr">
        <is>
          <t>≥20N/mm², ≥160%</t>
        </is>
      </c>
      <c r="E21" s="2" t="inlineStr">
        <is>
          <t>材料试棒</t>
        </is>
      </c>
      <c r="F21" s="2" t="n">
        <v>15</v>
      </c>
      <c r="G21" s="2" t="n">
        <v>15</v>
      </c>
      <c r="H21" s="3">
        <f>F21+G21</f>
        <v/>
      </c>
      <c r="I21" s="4" t="n">
        <v>0</v>
      </c>
      <c r="J21" s="5">
        <f>H21*I21</f>
        <v/>
      </c>
      <c r="K21" s="6" t="inlineStr">
        <is>
          <t>需EN ISO 527-2</t>
        </is>
      </c>
    </row>
    <row r="22">
      <c r="A22" s="7" t="inlineStr">
        <is>
          <t>合计</t>
        </is>
      </c>
      <c r="H22" s="8">
        <f>SUM(H2:H21)</f>
        <v/>
      </c>
      <c r="J22" s="9">
        <f>SUM(J2:J21)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2026-03-02T12:23:15Z</dcterms:created>
  <dcterms:modified xmlns:dcterms="http://purl.org/dc/terms/" xmlns:xsi="http://www.w3.org/2001/XMLSchema-instance" xsi:type="dcterms:W3CDTF">2026-03-02T12:23:15Z</dcterms:modified>
</cp:coreProperties>
</file>