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补充材料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sz val="10"/>
    </font>
    <font>
      <name val="Arial"/>
      <i val="1"/>
      <color rgb="00C00000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0070C0"/>
      <sz val="10"/>
    </font>
    <font>
      <name val="Arial"/>
      <sz val="9"/>
    </font>
    <font>
      <name val="Arial"/>
      <b val="1"/>
      <color rgb="002F5496"/>
      <sz val="12"/>
    </font>
    <font>
      <name val="Arial"/>
      <b val="1"/>
      <color rgb="002F5496"/>
      <sz val="11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7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6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10" customWidth="1" min="4" max="4"/>
    <col width="12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  <col width="28" customWidth="1" min="11" max="11"/>
  </cols>
  <sheetData>
    <row r="1">
      <c r="A1" s="1" t="inlineStr">
        <is>
          <t>KP1 燃油管路 — 补充材料清单 / DV+PV 测试样件需求（C3 / TDR #8）</t>
        </is>
      </c>
    </row>
    <row r="2">
      <c r="A2" s="2" t="inlineStr">
        <is>
          <t>零件号: FC00SAA78530 | 零件名: 滤清器至发动机供油管 | 车型: KP1 A&amp;B | 日期: 2026-03-01</t>
        </is>
      </c>
    </row>
    <row r="3">
      <c r="A3" s="3" t="inlineStr">
        <is>
          <t>说明: 单价栏标黄色为供应商待填项；标红色为被 PF.90298 阻塞项（接头规范未到手）</t>
        </is>
      </c>
    </row>
    <row r="5" ht="30" customHeight="1">
      <c r="A5" s="4" t="inlineStr">
        <is>
          <t>序号</t>
        </is>
      </c>
      <c r="B5" s="4" t="inlineStr">
        <is>
          <t>测试类别</t>
        </is>
      </c>
      <c r="C5" s="4" t="inlineStr">
        <is>
          <t>测试项目</t>
        </is>
      </c>
      <c r="D5" s="4" t="inlineStr">
        <is>
          <t>PF.90197
章节</t>
        </is>
      </c>
      <c r="E5" s="4" t="inlineStr">
        <is>
          <t>验收标准</t>
        </is>
      </c>
      <c r="F5" s="4" t="inlineStr">
        <is>
          <t>DV
样件数</t>
        </is>
      </c>
      <c r="G5" s="4" t="inlineStr">
        <is>
          <t>PV
样件数</t>
        </is>
      </c>
      <c r="H5" s="4" t="inlineStr">
        <is>
          <t>DV+PV
合计</t>
        </is>
      </c>
      <c r="I5" s="4" t="inlineStr">
        <is>
          <t>单价
(¥/件)</t>
        </is>
      </c>
      <c r="J5" s="4" t="inlineStr">
        <is>
          <t>DV+PV
费用小计</t>
        </is>
      </c>
      <c r="K5" s="4" t="inlineStr">
        <is>
          <t>备注</t>
        </is>
      </c>
    </row>
    <row r="6" ht="28" customHeight="1">
      <c r="A6" s="5" t="n">
        <v>1</v>
      </c>
      <c r="B6" s="6" t="inlineStr">
        <is>
          <t>功能性测试</t>
        </is>
      </c>
      <c r="C6" s="7" t="inlineStr">
        <is>
          <t>内部清洁度测试</t>
        </is>
      </c>
      <c r="D6" s="5" t="inlineStr">
        <is>
          <t>§7.1</t>
        </is>
      </c>
      <c r="E6" s="5" t="inlineStr">
        <is>
          <t>P99C90</t>
        </is>
      </c>
      <c r="F6" s="5" t="n">
        <v>15</v>
      </c>
      <c r="G6" s="5" t="n">
        <v>15</v>
      </c>
      <c r="H6" s="8">
        <f>F6+G6</f>
        <v/>
      </c>
      <c r="I6" s="9" t="inlineStr">
        <is>
          <t>待填</t>
        </is>
      </c>
      <c r="J6" s="5">
        <f>IF(ISNUMBER(I6),H6*I6,"待计算")</f>
        <v/>
      </c>
      <c r="K6" s="10" t="inlineStr">
        <is>
          <t>柴油滤后管 Filter A 标准</t>
        </is>
      </c>
    </row>
    <row r="7" ht="28" customHeight="1">
      <c r="A7" s="5" t="n">
        <v>2</v>
      </c>
      <c r="B7" s="11" t="n"/>
      <c r="C7" s="7" t="inlineStr">
        <is>
          <t>泄漏密封性测试</t>
        </is>
      </c>
      <c r="D7" s="5" t="inlineStr">
        <is>
          <t>§7.2</t>
        </is>
      </c>
      <c r="E7" s="5" t="inlineStr">
        <is>
          <t>P99C90</t>
        </is>
      </c>
      <c r="F7" s="5" t="n">
        <v>15</v>
      </c>
      <c r="G7" s="5" t="n">
        <v>15</v>
      </c>
      <c r="H7" s="8">
        <f>F7+G7</f>
        <v/>
      </c>
      <c r="I7" s="9" t="inlineStr">
        <is>
          <t>待填</t>
        </is>
      </c>
      <c r="J7" s="5">
        <f>IF(ISNUMBER(I7),H7*I7,"待计算")</f>
        <v/>
      </c>
      <c r="K7" s="10" t="inlineStr">
        <is>
          <t>VLD ≤ 15μm；100%全检项</t>
        </is>
      </c>
    </row>
    <row r="8" ht="28" customHeight="1">
      <c r="A8" s="5" t="n">
        <v>3</v>
      </c>
      <c r="B8" s="11" t="n"/>
      <c r="C8" s="7" t="inlineStr">
        <is>
          <t>压降/流阻测试</t>
        </is>
      </c>
      <c r="D8" s="5" t="inlineStr">
        <is>
          <t>§7.3</t>
        </is>
      </c>
      <c r="E8" s="5" t="inlineStr">
        <is>
          <t>P99C90</t>
        </is>
      </c>
      <c r="F8" s="5" t="n">
        <v>15</v>
      </c>
      <c r="G8" s="5" t="n">
        <v>15</v>
      </c>
      <c r="H8" s="8">
        <f>F8+G8</f>
        <v/>
      </c>
      <c r="I8" s="9" t="inlineStr">
        <is>
          <t>待填</t>
        </is>
      </c>
      <c r="J8" s="5">
        <f>IF(ISNUMBER(I8),H8*I8,"待计算")</f>
        <v/>
      </c>
      <c r="K8" s="10" t="inlineStr">
        <is>
          <t>100%全检项</t>
        </is>
      </c>
    </row>
    <row r="9" ht="28" customHeight="1">
      <c r="A9" s="5" t="n">
        <v>4</v>
      </c>
      <c r="B9" s="11" t="n"/>
      <c r="C9" s="7" t="inlineStr">
        <is>
          <t>爆破试验（常温+高温）</t>
        </is>
      </c>
      <c r="D9" s="5" t="inlineStr">
        <is>
          <t>§7.4</t>
        </is>
      </c>
      <c r="E9" s="5" t="inlineStr">
        <is>
          <t>P99C90</t>
        </is>
      </c>
      <c r="F9" s="5" t="n">
        <v>15</v>
      </c>
      <c r="G9" s="5" t="n">
        <v>15</v>
      </c>
      <c r="H9" s="8">
        <f>F9+G9</f>
        <v/>
      </c>
      <c r="I9" s="9" t="inlineStr">
        <is>
          <t>待填</t>
        </is>
      </c>
      <c r="J9" s="5">
        <f>IF(ISNUMBER(I9),H9*I9,"待计算")</f>
        <v/>
      </c>
      <c r="K9" s="10" t="inlineStr">
        <is>
          <t>常温 ≥36bar；115°C ≥13.5bar</t>
        </is>
      </c>
    </row>
    <row r="10" ht="28" customHeight="1">
      <c r="A10" s="5" t="n">
        <v>5</v>
      </c>
      <c r="B10" s="11" t="n"/>
      <c r="C10" s="7" t="inlineStr">
        <is>
          <t>接头拉脱力（常温+高温）</t>
        </is>
      </c>
      <c r="D10" s="5" t="inlineStr">
        <is>
          <t>§6.3.5</t>
        </is>
      </c>
      <c r="E10" s="5" t="inlineStr">
        <is>
          <t>P99C90</t>
        </is>
      </c>
      <c r="F10" s="5" t="n">
        <v>15</v>
      </c>
      <c r="G10" s="5" t="n">
        <v>15</v>
      </c>
      <c r="H10" s="8">
        <f>F10+G10</f>
        <v/>
      </c>
      <c r="I10" s="9" t="inlineStr">
        <is>
          <t>待填</t>
        </is>
      </c>
      <c r="J10" s="5">
        <f>IF(ISNUMBER(I10),H10*I10,"待计算")</f>
        <v/>
      </c>
      <c r="K10" s="10" t="inlineStr">
        <is>
          <t>常温 ≥450N；115°C ≥115N</t>
        </is>
      </c>
    </row>
    <row r="11" ht="28" customHeight="1">
      <c r="A11" s="5" t="n">
        <v>6</v>
      </c>
      <c r="B11" s="11" t="n"/>
      <c r="C11" s="7" t="inlineStr">
        <is>
          <t>接头插入力</t>
        </is>
      </c>
      <c r="D11" s="5" t="inlineStr">
        <is>
          <t>§6.2.4</t>
        </is>
      </c>
      <c r="E11" s="5" t="inlineStr">
        <is>
          <t>P99C90</t>
        </is>
      </c>
      <c r="F11" s="5" t="n">
        <v>15</v>
      </c>
      <c r="G11" s="5" t="n">
        <v>15</v>
      </c>
      <c r="H11" s="8">
        <f>F11+G11</f>
        <v/>
      </c>
      <c r="I11" s="9" t="inlineStr">
        <is>
          <t>待填</t>
        </is>
      </c>
      <c r="J11" s="5">
        <f>IF(ISNUMBER(I11),H11*I11,"待计算")</f>
        <v/>
      </c>
      <c r="K11" s="10" t="inlineStr">
        <is>
          <t>&lt;11mm ≤67N；≥11mm ≤111N</t>
        </is>
      </c>
    </row>
    <row r="12" ht="28" customHeight="1">
      <c r="A12" s="5" t="n">
        <v>7</v>
      </c>
      <c r="B12" s="11" t="n"/>
      <c r="C12" s="7" t="inlineStr">
        <is>
          <t>卡扣插入/保持力</t>
        </is>
      </c>
      <c r="D12" s="5" t="inlineStr">
        <is>
          <t>§6.3.4</t>
        </is>
      </c>
      <c r="E12" s="5" t="inlineStr">
        <is>
          <t>P99C90</t>
        </is>
      </c>
      <c r="F12" s="5" t="n">
        <v>15</v>
      </c>
      <c r="G12" s="5" t="n">
        <v>15</v>
      </c>
      <c r="H12" s="8">
        <f>F12+G12</f>
        <v/>
      </c>
      <c r="I12" s="9" t="inlineStr">
        <is>
          <t>待填</t>
        </is>
      </c>
      <c r="J12" s="5">
        <f>IF(ISNUMBER(I12),H12*I12,"待计算")</f>
        <v/>
      </c>
      <c r="K12" s="10" t="inlineStr">
        <is>
          <t>装配 ≤20N；拆卸 ≥80N</t>
        </is>
      </c>
    </row>
    <row r="13" ht="28" customHeight="1">
      <c r="A13" s="5" t="n">
        <v>8</v>
      </c>
      <c r="B13" s="11" t="n"/>
      <c r="C13" s="7" t="inlineStr">
        <is>
          <t>静电释放测试</t>
        </is>
      </c>
      <c r="D13" s="5" t="inlineStr">
        <is>
          <t>§6.2.5</t>
        </is>
      </c>
      <c r="E13" s="5" t="inlineStr">
        <is>
          <t>P99C90</t>
        </is>
      </c>
      <c r="F13" s="5" t="n">
        <v>15</v>
      </c>
      <c r="G13" s="5" t="n">
        <v>15</v>
      </c>
      <c r="H13" s="8">
        <f>F13+G13</f>
        <v/>
      </c>
      <c r="I13" s="9" t="inlineStr">
        <is>
          <t>待填</t>
        </is>
      </c>
      <c r="J13" s="5">
        <f>IF(ISNUMBER(I13),H13*I13,"待计算")</f>
        <v/>
      </c>
      <c r="K13" s="10" t="inlineStr">
        <is>
          <t>安全相关 CC 项</t>
        </is>
      </c>
    </row>
    <row r="14" ht="28" customHeight="1">
      <c r="A14" s="5" t="n">
        <v>9</v>
      </c>
      <c r="B14" s="11" t="n"/>
      <c r="C14" s="7" t="inlineStr">
        <is>
          <t>材料层检测</t>
        </is>
      </c>
      <c r="D14" s="5" t="inlineStr">
        <is>
          <t>§6.2.2</t>
        </is>
      </c>
      <c r="E14" s="5" t="inlineStr">
        <is>
          <t>P99C90</t>
        </is>
      </c>
      <c r="F14" s="5" t="n">
        <v>15</v>
      </c>
      <c r="G14" s="5" t="n">
        <v>15</v>
      </c>
      <c r="H14" s="8">
        <f>F14+G14</f>
        <v/>
      </c>
      <c r="I14" s="9" t="inlineStr">
        <is>
          <t>待填</t>
        </is>
      </c>
      <c r="J14" s="5">
        <f>IF(ISNUMBER(I14),H14*I14,"待计算")</f>
        <v/>
      </c>
      <c r="K14" s="10" t="inlineStr"/>
    </row>
    <row r="15" ht="28" customHeight="1">
      <c r="A15" s="5" t="n">
        <v>10</v>
      </c>
      <c r="B15" s="11" t="n"/>
      <c r="C15" s="7" t="inlineStr">
        <is>
          <t>内部燃油耐受性</t>
        </is>
      </c>
      <c r="D15" s="5" t="inlineStr">
        <is>
          <t>§6.3.6</t>
        </is>
      </c>
      <c r="E15" s="5" t="inlineStr">
        <is>
          <t>P99C90</t>
        </is>
      </c>
      <c r="F15" s="5" t="n">
        <v>15</v>
      </c>
      <c r="G15" s="5" t="n">
        <v>15</v>
      </c>
      <c r="H15" s="8">
        <f>F15+G15</f>
        <v/>
      </c>
      <c r="I15" s="9" t="inlineStr">
        <is>
          <t>待填</t>
        </is>
      </c>
      <c r="J15" s="5">
        <f>IF(ISNUMBER(I15),H15*I15,"待计算")</f>
        <v/>
      </c>
      <c r="K15" s="10" t="inlineStr">
        <is>
          <t>老化后拉伸强度 ≥15 N/mm²</t>
        </is>
      </c>
    </row>
    <row r="16" ht="28" customHeight="1">
      <c r="A16" s="5" t="n">
        <v>11</v>
      </c>
      <c r="B16" s="11" t="n"/>
      <c r="C16" s="7" t="inlineStr">
        <is>
          <t>成形管完整性</t>
        </is>
      </c>
      <c r="D16" s="5" t="inlineStr">
        <is>
          <t>§6.3.9</t>
        </is>
      </c>
      <c r="E16" s="5" t="inlineStr">
        <is>
          <t>P99C90</t>
        </is>
      </c>
      <c r="F16" s="5" t="n">
        <v>15</v>
      </c>
      <c r="G16" s="5" t="n">
        <v>15</v>
      </c>
      <c r="H16" s="8">
        <f>F16+G16</f>
        <v/>
      </c>
      <c r="I16" s="9" t="inlineStr">
        <is>
          <t>待填</t>
        </is>
      </c>
      <c r="J16" s="5">
        <f>IF(ISNUMBER(I16),H16*I16,"待计算")</f>
        <v/>
      </c>
      <c r="K16" s="10" t="inlineStr">
        <is>
          <t>弯管后截面 ≥80%</t>
        </is>
      </c>
    </row>
    <row r="17" ht="28" customHeight="1">
      <c r="A17" s="5" t="n">
        <v>12</v>
      </c>
      <c r="B17" s="11" t="n"/>
      <c r="C17" s="7" t="inlineStr">
        <is>
          <t>尺寸符合性验证</t>
        </is>
      </c>
      <c r="D17" s="5" t="inlineStr">
        <is>
          <t>§6.3.8</t>
        </is>
      </c>
      <c r="E17" s="5" t="inlineStr">
        <is>
          <t>P99C90</t>
        </is>
      </c>
      <c r="F17" s="5" t="n">
        <v>15</v>
      </c>
      <c r="G17" s="5" t="n">
        <v>15</v>
      </c>
      <c r="H17" s="8">
        <f>F17+G17</f>
        <v/>
      </c>
      <c r="I17" s="9" t="inlineStr">
        <is>
          <t>待填</t>
        </is>
      </c>
      <c r="J17" s="5">
        <f>IF(ISNUMBER(I17),H17*I17,"待计算")</f>
        <v/>
      </c>
      <c r="K17" s="10" t="inlineStr">
        <is>
          <t>全尺寸检测</t>
        </is>
      </c>
    </row>
    <row r="18" ht="28" customHeight="1">
      <c r="A18" s="5" t="n">
        <v>13</v>
      </c>
      <c r="B18" s="11" t="n"/>
      <c r="C18" s="7" t="inlineStr">
        <is>
          <t>运输尺寸符合性</t>
        </is>
      </c>
      <c r="D18" s="5" t="inlineStr">
        <is>
          <t>§6.3.7</t>
        </is>
      </c>
      <c r="E18" s="5" t="inlineStr">
        <is>
          <t>P99C90</t>
        </is>
      </c>
      <c r="F18" s="5" t="n">
        <v>0</v>
      </c>
      <c r="G18" s="5" t="n">
        <v>15</v>
      </c>
      <c r="H18" s="8">
        <f>F18+G18</f>
        <v/>
      </c>
      <c r="I18" s="9" t="inlineStr">
        <is>
          <t>待填</t>
        </is>
      </c>
      <c r="J18" s="5">
        <f>IF(ISNUMBER(I18),H18*I18,"待计算")</f>
        <v/>
      </c>
      <c r="K18" s="10" t="inlineStr">
        <is>
          <t>仅 PV</t>
        </is>
      </c>
    </row>
    <row r="19" ht="28" customHeight="1">
      <c r="A19" s="5" t="n">
        <v>14</v>
      </c>
      <c r="B19" s="11" t="n"/>
      <c r="C19" s="7" t="inlineStr">
        <is>
          <t>化学耐受性</t>
        </is>
      </c>
      <c r="D19" s="5" t="inlineStr">
        <is>
          <t>§5.1</t>
        </is>
      </c>
      <c r="E19" s="5" t="inlineStr">
        <is>
          <t>P99C90</t>
        </is>
      </c>
      <c r="F19" s="5" t="n">
        <v>15</v>
      </c>
      <c r="G19" s="5" t="n">
        <v>15</v>
      </c>
      <c r="H19" s="8">
        <f>F19+G19</f>
        <v/>
      </c>
      <c r="I19" s="9" t="inlineStr">
        <is>
          <t>待填</t>
        </is>
      </c>
      <c r="J19" s="5">
        <f>IF(ISNUMBER(I19),H19*I19,"待计算")</f>
        <v/>
      </c>
      <c r="K19" s="10" t="inlineStr"/>
    </row>
    <row r="20" ht="28" customHeight="1">
      <c r="A20" s="5" t="n">
        <v>15</v>
      </c>
      <c r="B20" s="11" t="n"/>
      <c r="C20" s="7" t="inlineStr">
        <is>
          <t>耐腐蚀性</t>
        </is>
      </c>
      <c r="D20" s="5" t="inlineStr">
        <is>
          <t>§5.3</t>
        </is>
      </c>
      <c r="E20" s="5" t="inlineStr">
        <is>
          <t>P99C90</t>
        </is>
      </c>
      <c r="F20" s="5" t="n">
        <v>15</v>
      </c>
      <c r="G20" s="5" t="n">
        <v>15</v>
      </c>
      <c r="H20" s="8">
        <f>F20+G20</f>
        <v/>
      </c>
      <c r="I20" s="9" t="inlineStr">
        <is>
          <t>待填</t>
        </is>
      </c>
      <c r="J20" s="5">
        <f>IF(ISNUMBER(I20),H20*I20,"待计算")</f>
        <v/>
      </c>
      <c r="K20" s="10" t="inlineStr">
        <is>
          <t>盐雾试验</t>
        </is>
      </c>
    </row>
    <row r="21" ht="28" customHeight="1">
      <c r="A21" s="5" t="n">
        <v>16</v>
      </c>
      <c r="B21" s="12" t="n"/>
      <c r="C21" s="7" t="inlineStr">
        <is>
          <t>氯化锌耐受性</t>
        </is>
      </c>
      <c r="D21" s="5" t="inlineStr">
        <is>
          <t>§5.4</t>
        </is>
      </c>
      <c r="E21" s="5" t="inlineStr">
        <is>
          <t>P99C90</t>
        </is>
      </c>
      <c r="F21" s="5" t="n">
        <v>15</v>
      </c>
      <c r="G21" s="5" t="n">
        <v>15</v>
      </c>
      <c r="H21" s="8">
        <f>F21+G21</f>
        <v/>
      </c>
      <c r="I21" s="9" t="inlineStr">
        <is>
          <t>待填</t>
        </is>
      </c>
      <c r="J21" s="5">
        <f>IF(ISNUMBER(I21),H21*I21,"待计算")</f>
        <v/>
      </c>
      <c r="K21" s="10" t="inlineStr">
        <is>
          <t>仅 EMEA 市场</t>
        </is>
      </c>
    </row>
    <row r="22" ht="28" customHeight="1">
      <c r="A22" s="5" t="n">
        <v>17</v>
      </c>
      <c r="B22" s="6" t="inlineStr">
        <is>
          <t>耐久性测试</t>
        </is>
      </c>
      <c r="C22" s="7" t="inlineStr">
        <is>
          <t>寿命循环试验</t>
        </is>
      </c>
      <c r="D22" s="5" t="inlineStr">
        <is>
          <t>§9.3</t>
        </is>
      </c>
      <c r="E22" s="5" t="inlineStr">
        <is>
          <t>R95C90</t>
        </is>
      </c>
      <c r="F22" s="5" t="n">
        <v>45</v>
      </c>
      <c r="G22" s="5" t="n">
        <v>45</v>
      </c>
      <c r="H22" s="8">
        <f>F22+G22</f>
        <v/>
      </c>
      <c r="I22" s="9" t="inlineStr">
        <is>
          <t>待填</t>
        </is>
      </c>
      <c r="J22" s="5">
        <f>IF(ISNUMBER(I22),H22*I22,"待计算")</f>
        <v/>
      </c>
      <c r="K22" s="10" t="inlineStr">
        <is>
          <t>15年/150,000英里</t>
        </is>
      </c>
    </row>
    <row r="23" ht="28" customHeight="1">
      <c r="A23" s="5" t="n">
        <v>18</v>
      </c>
      <c r="B23" s="11" t="n"/>
      <c r="C23" s="7" t="inlineStr">
        <is>
          <t>振动循环试验</t>
        </is>
      </c>
      <c r="D23" s="5" t="inlineStr">
        <is>
          <t>§9.4</t>
        </is>
      </c>
      <c r="E23" s="5" t="inlineStr">
        <is>
          <t>R95C90</t>
        </is>
      </c>
      <c r="F23" s="5" t="n">
        <v>45</v>
      </c>
      <c r="G23" s="5" t="n">
        <v>45</v>
      </c>
      <c r="H23" s="8">
        <f>F23+G23</f>
        <v/>
      </c>
      <c r="I23" s="9" t="inlineStr">
        <is>
          <t>待填</t>
        </is>
      </c>
      <c r="J23" s="5">
        <f>IF(ISNUMBER(I23),H23*I23,"待计算")</f>
        <v/>
      </c>
      <c r="K23" s="10" t="inlineStr">
        <is>
          <t>三轴随机振动；按平台振动谱</t>
        </is>
      </c>
    </row>
    <row r="24" ht="28" customHeight="1">
      <c r="A24" s="5" t="n">
        <v>19</v>
      </c>
      <c r="B24" s="12" t="n"/>
      <c r="C24" s="7" t="inlineStr">
        <is>
          <t>脉冲压力耐久</t>
        </is>
      </c>
      <c r="D24" s="5" t="inlineStr">
        <is>
          <t>§9.5</t>
        </is>
      </c>
      <c r="E24" s="5" t="inlineStr">
        <is>
          <t>R95C90</t>
        </is>
      </c>
      <c r="F24" s="5" t="n">
        <v>45</v>
      </c>
      <c r="G24" s="5" t="n">
        <v>45</v>
      </c>
      <c r="H24" s="8">
        <f>F24+G24</f>
        <v/>
      </c>
      <c r="I24" s="9" t="inlineStr">
        <is>
          <t>待填</t>
        </is>
      </c>
      <c r="J24" s="5">
        <f>IF(ISNUMBER(I24),H24*I24,"待计算")</f>
        <v/>
      </c>
      <c r="K24" s="10" t="inlineStr">
        <is>
          <t>300,000次（标准）/ 600,000次（S&amp;S）</t>
        </is>
      </c>
    </row>
    <row r="25" ht="28" customHeight="1">
      <c r="A25" s="5" t="n">
        <v>20</v>
      </c>
      <c r="B25" s="5" t="inlineStr">
        <is>
          <t>安全/法规</t>
        </is>
      </c>
      <c r="C25" s="7" t="inlineStr">
        <is>
          <t>蒸发排放 MiniSHED</t>
        </is>
      </c>
      <c r="D25" s="5" t="inlineStr">
        <is>
          <t>§8.2</t>
        </is>
      </c>
      <c r="E25" s="5" t="inlineStr">
        <is>
          <t>DV:P99C90
PV:R95C90</t>
        </is>
      </c>
      <c r="F25" s="5" t="n">
        <v>15</v>
      </c>
      <c r="G25" s="5" t="n">
        <v>45</v>
      </c>
      <c r="H25" s="8">
        <f>F25+G25</f>
        <v/>
      </c>
      <c r="I25" s="9" t="inlineStr">
        <is>
          <t>待填</t>
        </is>
      </c>
      <c r="J25" s="5">
        <f>IF(ISNUMBER(I25),H25*I25,"待计算")</f>
        <v/>
      </c>
      <c r="K25" s="10" t="inlineStr">
        <is>
          <t>CARB 标准</t>
        </is>
      </c>
    </row>
    <row r="26" ht="28" customHeight="1">
      <c r="A26" s="5" t="n">
        <v>21</v>
      </c>
      <c r="B26" s="6" t="inlineStr">
        <is>
          <t>接头测试</t>
        </is>
      </c>
      <c r="C26" s="7" t="inlineStr">
        <is>
          <t>快插接头性能验证</t>
        </is>
      </c>
      <c r="D26" s="5" t="inlineStr">
        <is>
          <t>PF.90298</t>
        </is>
      </c>
      <c r="E26" s="5" t="inlineStr">
        <is>
          <t>待确认</t>
        </is>
      </c>
      <c r="F26" s="5" t="n">
        <v>15</v>
      </c>
      <c r="G26" s="5" t="n">
        <v>15</v>
      </c>
      <c r="H26" s="8">
        <f>F26+G26</f>
        <v/>
      </c>
      <c r="I26" s="13" t="inlineStr">
        <is>
          <t>待填</t>
        </is>
      </c>
      <c r="J26" s="5">
        <f>IF(ISNUMBER(I26),H26*I26,"待计算")</f>
        <v/>
      </c>
      <c r="K26" s="10" t="inlineStr">
        <is>
          <t>⛔ 需 PF.90298 规范到手后补充</t>
        </is>
      </c>
    </row>
    <row r="27" ht="28" customHeight="1">
      <c r="A27" s="5" t="n">
        <v>22</v>
      </c>
      <c r="B27" s="12" t="n"/>
      <c r="C27" s="7" t="inlineStr">
        <is>
          <t>接头耐久/老化</t>
        </is>
      </c>
      <c r="D27" s="5" t="inlineStr">
        <is>
          <t>PF.90298</t>
        </is>
      </c>
      <c r="E27" s="5" t="inlineStr">
        <is>
          <t>待确认</t>
        </is>
      </c>
      <c r="F27" s="5" t="n">
        <v>45</v>
      </c>
      <c r="G27" s="5" t="n">
        <v>45</v>
      </c>
      <c r="H27" s="8">
        <f>F27+G27</f>
        <v/>
      </c>
      <c r="I27" s="13" t="inlineStr">
        <is>
          <t>待填</t>
        </is>
      </c>
      <c r="J27" s="5">
        <f>IF(ISNUMBER(I27),H27*I27,"待计算")</f>
        <v/>
      </c>
      <c r="K27" s="10" t="inlineStr">
        <is>
          <t>⛔ 需 PF.90298 规范到手后补充</t>
        </is>
      </c>
    </row>
    <row r="29">
      <c r="A29" s="14" t="inlineStr">
        <is>
          <t>样件需求汇总</t>
        </is>
      </c>
    </row>
    <row r="30">
      <c r="A30" s="4" t="inlineStr">
        <is>
          <t>类别</t>
        </is>
      </c>
      <c r="B30" s="4" t="inlineStr">
        <is>
          <t>DV 样件数</t>
        </is>
      </c>
      <c r="C30" s="4" t="inlineStr">
        <is>
          <t>PV 样件数</t>
        </is>
      </c>
      <c r="D30" s="4" t="inlineStr">
        <is>
          <t>DV+PV 合计</t>
        </is>
      </c>
      <c r="E30" s="4" t="inlineStr">
        <is>
          <t>说明</t>
        </is>
      </c>
    </row>
    <row r="31">
      <c r="A31" s="7" t="inlineStr">
        <is>
          <t>功能性测试（P99C90）</t>
        </is>
      </c>
      <c r="B31" s="5">
        <f>SUMPRODUCT((B6:B27="功能性测试")*F6:F27)</f>
        <v/>
      </c>
      <c r="C31" s="5">
        <f>SUMPRODUCT((B6:B27="功能性测试")*G6:G27)</f>
        <v/>
      </c>
      <c r="D31" s="8">
        <f>B31+C31</f>
        <v/>
      </c>
      <c r="E31" s="10" t="inlineStr">
        <is>
          <t>每项 15 件；部分项目样件可共用</t>
        </is>
      </c>
    </row>
    <row r="32">
      <c r="A32" s="7" t="inlineStr">
        <is>
          <t>耐久性测试（R95C90）</t>
        </is>
      </c>
      <c r="B32" s="5">
        <f>SUMPRODUCT((B6:B27="耐久性测试")*F6:F27)</f>
        <v/>
      </c>
      <c r="C32" s="5">
        <f>SUMPRODUCT((B6:B27="耐久性测试")*G6:G27)</f>
        <v/>
      </c>
      <c r="D32" s="8">
        <f>B32+C32</f>
        <v/>
      </c>
      <c r="E32" s="10" t="inlineStr">
        <is>
          <t>每项 45 件（Weibull β=1.5）</t>
        </is>
      </c>
    </row>
    <row r="33">
      <c r="A33" s="7" t="inlineStr">
        <is>
          <t>安全/法规测试</t>
        </is>
      </c>
      <c r="B33" s="5">
        <f>SUMPRODUCT((B6:B27="安全/法规")*F6:F27)</f>
        <v/>
      </c>
      <c r="C33" s="5">
        <f>SUMPRODUCT((B6:B27="安全/法规")*G6:G27)</f>
        <v/>
      </c>
      <c r="D33" s="8">
        <f>B33+C33</f>
        <v/>
      </c>
      <c r="E33" s="10" t="inlineStr">
        <is>
          <t>MiniSHED: DV 15件 / PV 45件</t>
        </is>
      </c>
    </row>
    <row r="34">
      <c r="A34" s="7" t="inlineStr">
        <is>
          <t>接头测试（⛔阻塞）</t>
        </is>
      </c>
      <c r="B34" s="5">
        <f>SUMPRODUCT((B6:B27="接头测试")*F6:F27)</f>
        <v/>
      </c>
      <c r="C34" s="5">
        <f>SUMPRODUCT((B6:B27="接头测试")*G6:G27)</f>
        <v/>
      </c>
      <c r="D34" s="8">
        <f>B34+C34</f>
        <v/>
      </c>
      <c r="E34" s="10" t="inlineStr">
        <is>
          <t>需 PF.90298 到手后确认</t>
        </is>
      </c>
    </row>
    <row r="35">
      <c r="A35" s="15" t="inlineStr">
        <is>
          <t>合计（不含共用优化）</t>
        </is>
      </c>
      <c r="B35" s="16">
        <f>SUM(F6:F27)</f>
        <v/>
      </c>
      <c r="C35" s="16">
        <f>SUM(G6:G27)</f>
        <v/>
      </c>
      <c r="D35" s="16">
        <f>B35+C35</f>
        <v/>
      </c>
      <c r="E35" s="15" t="inlineStr">
        <is>
          <t>实际需求可通过样件共用优化</t>
        </is>
      </c>
    </row>
    <row r="37">
      <c r="A37" s="17" t="inlineStr">
        <is>
          <t>样件共用优化说明</t>
        </is>
      </c>
    </row>
    <row r="38">
      <c r="A38" s="18" t="inlineStr">
        <is>
          <t>1. 功能性测试（15件组）：泄漏、压降、爆破、拉脱力等可按顺序在同一批样件上执行（先非破坏 → 后破坏），实际需约 15-30 件而非 15×16=240 件</t>
        </is>
      </c>
    </row>
    <row r="39">
      <c r="A39" s="18" t="inlineStr">
        <is>
          <t>2. 耐久性测试（45件组）：寿命循环、振动、脉冲压力为独立测试，样件不可共用，合计需 135 件（DV）+ 135 件（PV）</t>
        </is>
      </c>
    </row>
    <row r="40">
      <c r="A40" s="18" t="inlineStr">
        <is>
          <t>3. 建议与 Stellantis 确认 DVP&amp;R 模板（07740 附件2）后，再精确优化样件共用方案</t>
        </is>
      </c>
    </row>
    <row r="41">
      <c r="A41" s="18" t="inlineStr">
        <is>
          <t>4. 接头相关测试项待 PF.90298 到手后补充（当前标红为阻塞项）</t>
        </is>
      </c>
    </row>
    <row r="42">
      <c r="A42" s="18" t="inlineStr">
        <is>
          <t>5. 配套件费用（接头、夹具、测试介质、密封圈等）需单独估算，建议按样件费用的 15-20% 预留</t>
        </is>
      </c>
    </row>
    <row r="44">
      <c r="A44" s="17" t="inlineStr">
        <is>
          <t>费用汇总（供应商填入单价后自动计算）</t>
        </is>
      </c>
    </row>
    <row r="45">
      <c r="A45" s="4" t="inlineStr">
        <is>
          <t>费用项目</t>
        </is>
      </c>
      <c r="B45" s="4" t="inlineStr">
        <is>
          <t>金额 (¥)</t>
        </is>
      </c>
      <c r="C45" s="4" t="inlineStr">
        <is>
          <t>说明</t>
        </is>
      </c>
    </row>
    <row r="46">
      <c r="A46" s="7" t="inlineStr">
        <is>
          <t>样件制造费用</t>
        </is>
      </c>
      <c r="B46" s="5">
        <f>SUMPRODUCT(IF(ISNUMBER(I6:I27),H6:H27*I6:I27,0))</f>
        <v/>
      </c>
      <c r="C46" s="10" t="inlineStr">
        <is>
          <t>供应商填入单价后自动汇总</t>
        </is>
      </c>
    </row>
    <row r="47">
      <c r="A47" s="7" t="inlineStr">
        <is>
          <t>配套件/夹具费用</t>
        </is>
      </c>
      <c r="B47" s="9" t="inlineStr">
        <is>
          <t>待填</t>
        </is>
      </c>
      <c r="C47" s="10" t="inlineStr">
        <is>
          <t>建议按样件费 15-20% 预留</t>
        </is>
      </c>
    </row>
    <row r="48">
      <c r="A48" s="7" t="inlineStr">
        <is>
          <t>第三方检测费用</t>
        </is>
      </c>
      <c r="B48" s="9" t="inlineStr">
        <is>
          <t>待填</t>
        </is>
      </c>
      <c r="C48" s="10" t="inlineStr">
        <is>
          <t>如泄漏VLD、盐雾等委外测试</t>
        </is>
      </c>
    </row>
    <row r="49">
      <c r="A49" s="7" t="inlineStr">
        <is>
          <t>物流/包装费用</t>
        </is>
      </c>
      <c r="B49" s="9" t="inlineStr">
        <is>
          <t>待填</t>
        </is>
      </c>
      <c r="C49" s="10" t="inlineStr">
        <is>
          <t>样件运输</t>
        </is>
      </c>
    </row>
    <row r="50">
      <c r="A50" s="15" t="inlineStr">
        <is>
          <t>合计开发测试费用</t>
        </is>
      </c>
      <c r="B50" s="16">
        <f>SUM(B46:B49)</f>
        <v/>
      </c>
      <c r="C50" s="15" t="inlineStr">
        <is>
          <t>须计入报价中的开发成本</t>
        </is>
      </c>
    </row>
  </sheetData>
  <mergeCells count="14">
    <mergeCell ref="A29:E29"/>
    <mergeCell ref="A3:K3"/>
    <mergeCell ref="A39:K39"/>
    <mergeCell ref="A38:K38"/>
    <mergeCell ref="A2:K2"/>
    <mergeCell ref="A41:K41"/>
    <mergeCell ref="B6:B21"/>
    <mergeCell ref="A42:K42"/>
    <mergeCell ref="A40:K40"/>
    <mergeCell ref="B26:B27"/>
    <mergeCell ref="A1:K1"/>
    <mergeCell ref="A37:K37"/>
    <mergeCell ref="A44:K44"/>
    <mergeCell ref="B22:B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2026-03-02T07:27:03Z</dcterms:created>
  <dcterms:modified xmlns:dcterms="http://purl.org/dc/terms/" xmlns:xsi="http://www.w3.org/2001/XMLSchema-instance" xsi:type="dcterms:W3CDTF">2026-03-02T07:27:03Z</dcterms:modified>
</cp:coreProperties>
</file>