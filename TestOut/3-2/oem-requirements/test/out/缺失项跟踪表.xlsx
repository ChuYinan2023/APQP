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失项跟踪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F5496"/>
      <sz val="11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4" customWidth="1" min="3" max="3"/>
    <col width="34" customWidth="1" min="4" max="4"/>
    <col width="16" customWidth="1" min="5" max="5"/>
    <col width="16" customWidth="1" min="6" max="6"/>
    <col width="14" customWidth="1" min="7" max="7"/>
    <col width="14" customWidth="1" min="8" max="8"/>
    <col width="10" customWidth="1" min="9" max="9"/>
    <col width="24" customWidth="1" min="10" max="10"/>
  </cols>
  <sheetData>
    <row r="1">
      <c r="A1" s="1" t="inlineStr">
        <is>
          <t>KP1 燃油管路 — 缺失文件/资料跟踪表</t>
        </is>
      </c>
    </row>
    <row r="2">
      <c r="A2" s="2" t="inlineStr">
        <is>
          <t>零件号: FC00SAA78530 | 日期: 2026-03-01 | 红色=阻塞项 蓝色=内部收集 绿色=非紧急</t>
        </is>
      </c>
    </row>
    <row r="4">
      <c r="A4" s="3" t="inlineStr">
        <is>
          <t>序号</t>
        </is>
      </c>
      <c r="B4" s="3" t="inlineStr">
        <is>
          <t>紧急度</t>
        </is>
      </c>
      <c r="C4" s="3" t="inlineStr">
        <is>
          <t>缺失项</t>
        </is>
      </c>
      <c r="D4" s="3" t="inlineStr">
        <is>
          <t>说明/影响</t>
        </is>
      </c>
      <c r="E4" s="3" t="inlineStr">
        <is>
          <t>向谁要</t>
        </is>
      </c>
      <c r="F4" s="3" t="inlineStr">
        <is>
          <t>联系人/部门</t>
        </is>
      </c>
      <c r="G4" s="3" t="inlineStr">
        <is>
          <t>期望到手日期</t>
        </is>
      </c>
      <c r="H4" s="3" t="inlineStr">
        <is>
          <t>实际到手日期</t>
        </is>
      </c>
      <c r="I4" s="3" t="inlineStr">
        <is>
          <t>状态</t>
        </is>
      </c>
      <c r="J4" s="3" t="inlineStr">
        <is>
          <t>备注</t>
        </is>
      </c>
    </row>
    <row r="5" ht="42" customHeight="1">
      <c r="A5" s="4" t="n">
        <v>1</v>
      </c>
      <c r="B5" s="5" t="inlineStr">
        <is>
          <t>最高</t>
        </is>
      </c>
      <c r="C5" s="6" t="inlineStr">
        <is>
          <t>初始 3D CAD 数据（UG/Parasolid）</t>
        </is>
      </c>
      <c r="D5" s="6" t="inlineStr">
        <is>
          <t>没有 3D 无法确定材料用量和工艺路线 → TDR1 成本分解做不了；TDR4 3D 模型无法做设计提案</t>
        </is>
      </c>
      <c r="E5" s="6" t="inlineStr">
        <is>
          <t>Stellantis（Teamcenter）</t>
        </is>
      </c>
      <c r="F5" s="6" t="inlineStr">
        <is>
          <t>PC: Yuhan Zhang</t>
        </is>
      </c>
      <c r="G5" s="7" t="inlineStr"/>
      <c r="H5" s="7" t="inlineStr"/>
      <c r="I5" s="8" t="inlineStr">
        <is>
          <t>未发起</t>
        </is>
      </c>
      <c r="J5" s="7" t="inlineStr"/>
    </row>
    <row r="6" ht="42" customHeight="1">
      <c r="A6" s="4" t="n">
        <v>2</v>
      </c>
      <c r="B6" s="5" t="inlineStr">
        <is>
          <t>最高</t>
        </is>
      </c>
      <c r="C6" s="6" t="inlineStr">
        <is>
          <t>PF.90298 快插接头性能规范</t>
        </is>
      </c>
      <c r="D6" s="6" t="inlineStr">
        <is>
          <t>接头是成本大头；C3 补充材料清单的接头测试项空着；TDR6 例外事项清单有 2 项无法判定</t>
        </is>
      </c>
      <c r="E6" s="6" t="inlineStr">
        <is>
          <t>Stellantis PC</t>
        </is>
      </c>
      <c r="F6" s="6" t="inlineStr">
        <is>
          <t>PC: Yuhan Zhang</t>
        </is>
      </c>
      <c r="G6" s="7" t="inlineStr"/>
      <c r="H6" s="7" t="inlineStr"/>
      <c r="I6" s="8" t="inlineStr">
        <is>
          <t>未发起</t>
        </is>
      </c>
      <c r="J6" s="7" t="inlineStr"/>
    </row>
    <row r="7" ht="42" customHeight="1">
      <c r="A7" s="4" t="n">
        <v>3</v>
      </c>
      <c r="B7" s="5" t="inlineStr">
        <is>
          <t>最高</t>
        </is>
      </c>
      <c r="C7" s="6" t="inlineStr">
        <is>
          <t>07740 附件2（DV/PV 验证计划模板）</t>
        </is>
      </c>
      <c r="D7" s="6" t="inlineStr">
        <is>
          <t>CTS 第4章要求按此格式提交 DV+PV 验证计划，没有模板 DVP&amp;R 编不了</t>
        </is>
      </c>
      <c r="E7" s="6" t="inlineStr">
        <is>
          <t>Stellantis PC</t>
        </is>
      </c>
      <c r="F7" s="6" t="inlineStr">
        <is>
          <t>PC: Yuhan Zhang</t>
        </is>
      </c>
      <c r="G7" s="7" t="inlineStr"/>
      <c r="H7" s="7" t="inlineStr"/>
      <c r="I7" s="8" t="inlineStr">
        <is>
          <t>未发起</t>
        </is>
      </c>
      <c r="J7" s="7" t="inlineStr"/>
    </row>
    <row r="8" ht="42" customHeight="1">
      <c r="A8" s="4" t="n">
        <v>4</v>
      </c>
      <c r="B8" s="9" t="inlineStr">
        <is>
          <t>高</t>
        </is>
      </c>
      <c r="C8" s="6" t="inlineStr">
        <is>
          <t>SDT 人员名单</t>
        </is>
      </c>
      <c r="D8" s="6" t="inlineStr">
        <is>
          <t>TDR5 团队表和 C2 RASI 矩阵的人名空着，需确认 PM/DE/QE/TE/ME 等具体人选</t>
        </is>
      </c>
      <c r="E8" s="6" t="inlineStr">
        <is>
          <t>我方内部</t>
        </is>
      </c>
      <c r="F8" s="6" t="inlineStr">
        <is>
          <t>项目经理</t>
        </is>
      </c>
      <c r="G8" s="7" t="inlineStr"/>
      <c r="H8" s="7" t="inlineStr"/>
      <c r="I8" s="8" t="inlineStr">
        <is>
          <t>未发起</t>
        </is>
      </c>
      <c r="J8" s="7" t="inlineStr"/>
    </row>
    <row r="9" ht="42" customHeight="1">
      <c r="A9" s="4" t="n">
        <v>5</v>
      </c>
      <c r="B9" s="9" t="inlineStr">
        <is>
          <t>高</t>
        </is>
      </c>
      <c r="C9" s="6" t="inlineStr">
        <is>
          <t>供应商能力声明数据（填 B1 模板）</t>
        </is>
      </c>
      <c r="D9" s="6" t="inlineStr">
        <is>
          <t>填完 B1 才能生成 TDR6 例外事项清单的判定列。需要：设备清单、测试台账、IATF 证书、CAD 许可等</t>
        </is>
      </c>
      <c r="E9" s="6" t="inlineStr">
        <is>
          <t>我方内部</t>
        </is>
      </c>
      <c r="F9" s="6" t="inlineStr">
        <is>
          <t>各部门</t>
        </is>
      </c>
      <c r="G9" s="7" t="inlineStr"/>
      <c r="H9" s="7" t="inlineStr"/>
      <c r="I9" s="8" t="inlineStr">
        <is>
          <t>未发起</t>
        </is>
      </c>
      <c r="J9" s="6" t="inlineStr">
        <is>
          <t>B1 模板已生成</t>
        </is>
      </c>
    </row>
    <row r="10" ht="42" customHeight="1">
      <c r="A10" s="4" t="n">
        <v>6</v>
      </c>
      <c r="B10" s="9" t="inlineStr">
        <is>
          <t>高</t>
        </is>
      </c>
      <c r="C10" s="6" t="inlineStr">
        <is>
          <t>内部成本数据</t>
        </is>
      </c>
      <c r="D10" s="6" t="inlineStr">
        <is>
          <t>材料单价、工时费率、模具报价 → TDR1 成本分解的黄色格子</t>
        </is>
      </c>
      <c r="E10" s="6" t="inlineStr">
        <is>
          <t>我方内部</t>
        </is>
      </c>
      <c r="F10" s="6" t="inlineStr">
        <is>
          <t>采购 + 财务 + 工艺</t>
        </is>
      </c>
      <c r="G10" s="7" t="inlineStr"/>
      <c r="H10" s="7" t="inlineStr"/>
      <c r="I10" s="8" t="inlineStr">
        <is>
          <t>未发起</t>
        </is>
      </c>
      <c r="J10" s="7" t="inlineStr"/>
    </row>
    <row r="11" ht="42" customHeight="1">
      <c r="A11" s="4" t="n">
        <v>7</v>
      </c>
      <c r="B11" s="9" t="inlineStr">
        <is>
          <t>高</t>
        </is>
      </c>
      <c r="C11" s="6" t="inlineStr">
        <is>
          <t>样件单价</t>
        </is>
      </c>
      <c r="D11" s="6" t="inlineStr">
        <is>
          <t>C3 补充材料清单的费用汇总需要每项测试的样件单价</t>
        </is>
      </c>
      <c r="E11" s="6" t="inlineStr">
        <is>
          <t>我方内部</t>
        </is>
      </c>
      <c r="F11" s="6" t="inlineStr">
        <is>
          <t>成本工程师</t>
        </is>
      </c>
      <c r="G11" s="7" t="inlineStr"/>
      <c r="H11" s="7" t="inlineStr"/>
      <c r="I11" s="8" t="inlineStr">
        <is>
          <t>未发起</t>
        </is>
      </c>
      <c r="J11" s="7" t="inlineStr"/>
    </row>
    <row r="12" ht="42" customHeight="1">
      <c r="A12" s="4" t="n">
        <v>8</v>
      </c>
      <c r="B12" s="10" t="inlineStr">
        <is>
          <t>中</t>
        </is>
      </c>
      <c r="C12" s="6" t="inlineStr">
        <is>
          <t>PPAP 等级书面确认</t>
        </is>
      </c>
      <c r="D12" s="6" t="inlineStr">
        <is>
          <t>预计 Level 3（18项全交），但需正式书面确认</t>
        </is>
      </c>
      <c r="E12" s="6" t="inlineStr">
        <is>
          <t>Stellantis SQE</t>
        </is>
      </c>
      <c r="F12" s="6" t="inlineStr"/>
      <c r="G12" s="7" t="inlineStr"/>
      <c r="H12" s="7" t="inlineStr"/>
      <c r="I12" s="8" t="inlineStr">
        <is>
          <t>未发起</t>
        </is>
      </c>
      <c r="J12" s="6" t="inlineStr">
        <is>
          <t>可在催要邮件中一并确认</t>
        </is>
      </c>
    </row>
    <row r="13" ht="42" customHeight="1">
      <c r="A13" s="4" t="n">
        <v>9</v>
      </c>
      <c r="B13" s="10" t="inlineStr">
        <is>
          <t>中</t>
        </is>
      </c>
      <c r="C13" s="6" t="inlineStr">
        <is>
          <t>年产量/日产量信息</t>
        </is>
      </c>
      <c r="D13" s="6" t="inlineStr">
        <is>
          <t>影响模具方案选型和单件成本分摊计算</t>
        </is>
      </c>
      <c r="E13" s="6" t="inlineStr">
        <is>
          <t>Stellantis PC</t>
        </is>
      </c>
      <c r="F13" s="6" t="inlineStr">
        <is>
          <t>PC: Yuhan Zhang</t>
        </is>
      </c>
      <c r="G13" s="7" t="inlineStr"/>
      <c r="H13" s="7" t="inlineStr"/>
      <c r="I13" s="8" t="inlineStr">
        <is>
          <t>未发起</t>
        </is>
      </c>
      <c r="J13" s="6" t="inlineStr">
        <is>
          <t>可在催要邮件中一并确认</t>
        </is>
      </c>
    </row>
    <row r="14" ht="42" customHeight="1">
      <c r="A14" s="4" t="n">
        <v>10</v>
      </c>
      <c r="B14" s="10" t="inlineStr">
        <is>
          <t>中</t>
        </is>
      </c>
      <c r="C14" s="6" t="inlineStr">
        <is>
          <t>关键里程碑日期（TKO/DV/PV/SOP）</t>
        </is>
      </c>
      <c r="D14" s="6" t="inlineStr">
        <is>
          <t>TDR3 开发表的日期列全部空着，需要客户提供项目时间线</t>
        </is>
      </c>
      <c r="E14" s="6" t="inlineStr">
        <is>
          <t>Stellantis PC</t>
        </is>
      </c>
      <c r="F14" s="6" t="inlineStr">
        <is>
          <t>PC: Yuhan Zhang</t>
        </is>
      </c>
      <c r="G14" s="7" t="inlineStr"/>
      <c r="H14" s="7" t="inlineStr"/>
      <c r="I14" s="8" t="inlineStr">
        <is>
          <t>未发起</t>
        </is>
      </c>
      <c r="J14" s="6" t="inlineStr">
        <is>
          <t>通常在 Technical Review 时确认</t>
        </is>
      </c>
    </row>
    <row r="15" ht="42" customHeight="1">
      <c r="A15" s="4" t="n">
        <v>11</v>
      </c>
      <c r="B15" s="10" t="inlineStr">
        <is>
          <t>中</t>
        </is>
      </c>
      <c r="C15" s="6" t="inlineStr">
        <is>
          <t>PRO.00004（包装/变更规范）</t>
        </is>
      </c>
      <c r="D15" s="6" t="inlineStr">
        <is>
          <t>CTS 要求 CAD 变更须符合此规范，TKO 前需要</t>
        </is>
      </c>
      <c r="E15" s="6" t="inlineStr">
        <is>
          <t>Stellantis</t>
        </is>
      </c>
      <c r="F15" s="6" t="inlineStr"/>
      <c r="G15" s="7" t="inlineStr"/>
      <c r="H15" s="7" t="inlineStr"/>
      <c r="I15" s="8" t="inlineStr">
        <is>
          <t>未发起</t>
        </is>
      </c>
      <c r="J15" s="7" t="inlineStr"/>
    </row>
    <row r="16" ht="42" customHeight="1">
      <c r="A16" s="4" t="n">
        <v>12</v>
      </c>
      <c r="B16" s="10" t="inlineStr">
        <is>
          <t>中</t>
        </is>
      </c>
      <c r="C16" s="6" t="inlineStr">
        <is>
          <t>Cap.9.91220（管口封堵盖规格）</t>
        </is>
      </c>
      <c r="D16" s="6" t="inlineStr">
        <is>
          <t>PPT 通用要求中明确引用，保护帽选型需要</t>
        </is>
      </c>
      <c r="E16" s="6" t="inlineStr">
        <is>
          <t>Stellantis</t>
        </is>
      </c>
      <c r="F16" s="6" t="inlineStr"/>
      <c r="G16" s="7" t="inlineStr"/>
      <c r="H16" s="7" t="inlineStr"/>
      <c r="I16" s="8" t="inlineStr">
        <is>
          <t>未发起</t>
        </is>
      </c>
      <c r="J16" s="7" t="inlineStr"/>
    </row>
    <row r="17" ht="42" customHeight="1">
      <c r="A17" s="4" t="n">
        <v>13</v>
      </c>
      <c r="B17" s="11" t="inlineStr">
        <is>
          <t>低</t>
        </is>
      </c>
      <c r="C17" s="6" t="inlineStr">
        <is>
          <t>PF.90002/PF.90068 适用性确认</t>
        </is>
      </c>
      <c r="D17" s="6" t="inlineStr">
        <is>
          <t>这两份是 DEF（尿素）系统规范，需确认是否与本燃油管相关，还是客户误发</t>
        </is>
      </c>
      <c r="E17" s="6" t="inlineStr">
        <is>
          <t>Stellantis PC</t>
        </is>
      </c>
      <c r="F17" s="6" t="inlineStr">
        <is>
          <t>PC: Yuhan Zhang</t>
        </is>
      </c>
      <c r="G17" s="7" t="inlineStr"/>
      <c r="H17" s="7" t="inlineStr"/>
      <c r="I17" s="8" t="inlineStr">
        <is>
          <t>未发起</t>
        </is>
      </c>
      <c r="J17" s="6" t="inlineStr">
        <is>
          <t>可在催要邮件中一并确认</t>
        </is>
      </c>
    </row>
    <row r="18" ht="42" customHeight="1">
      <c r="A18" s="4" t="n">
        <v>14</v>
      </c>
      <c r="B18" s="11" t="inlineStr">
        <is>
          <t>低</t>
        </is>
      </c>
      <c r="C18" s="6" t="inlineStr">
        <is>
          <t>SAE J2044 / J2045 / J2260</t>
        </is>
      </c>
      <c r="D18" s="6" t="inlineStr">
        <is>
          <t>PF.90197 引用的行业标准，供应商可自行向 SAE 购买</t>
        </is>
      </c>
      <c r="E18" s="6" t="inlineStr">
        <is>
          <t>自行购买 / Stellantis</t>
        </is>
      </c>
      <c r="F18" s="6" t="inlineStr">
        <is>
          <t>采购部门</t>
        </is>
      </c>
      <c r="G18" s="7" t="inlineStr"/>
      <c r="H18" s="7" t="inlineStr"/>
      <c r="I18" s="8" t="inlineStr">
        <is>
          <t>未发起</t>
        </is>
      </c>
      <c r="J18" s="7" t="inlineStr"/>
    </row>
    <row r="19" ht="42" customHeight="1">
      <c r="A19" s="4" t="n">
        <v>15</v>
      </c>
      <c r="B19" s="11" t="inlineStr">
        <is>
          <t>低</t>
        </is>
      </c>
      <c r="C19" s="6" t="inlineStr">
        <is>
          <t>CS.00080 / CS.00019（CAD/GD&amp;T 标准）</t>
        </is>
      </c>
      <c r="D19" s="6" t="inlineStr">
        <is>
          <t>CTS 引用，如有 Stellantis 供应商经验通常已具备</t>
        </is>
      </c>
      <c r="E19" s="6" t="inlineStr">
        <is>
          <t>Stellantis</t>
        </is>
      </c>
      <c r="F19" s="6" t="inlineStr"/>
      <c r="G19" s="7" t="inlineStr"/>
      <c r="H19" s="7" t="inlineStr"/>
      <c r="I19" s="8" t="inlineStr">
        <is>
          <t>未发起</t>
        </is>
      </c>
      <c r="J19" s="7" t="inlineStr"/>
    </row>
    <row r="20" ht="42" customHeight="1">
      <c r="A20" s="4" t="n">
        <v>16</v>
      </c>
      <c r="B20" s="11" t="inlineStr">
        <is>
          <t>低</t>
        </is>
      </c>
      <c r="C20" s="6" t="inlineStr">
        <is>
          <t>PS.50005/06（金属管材料规格）</t>
        </is>
      </c>
      <c r="D20" s="6" t="inlineStr">
        <is>
          <t>CTS 要求金属管内表面镀镍，需要材料规格确认</t>
        </is>
      </c>
      <c r="E20" s="6" t="inlineStr">
        <is>
          <t>Stellantis</t>
        </is>
      </c>
      <c r="F20" s="6" t="inlineStr"/>
      <c r="G20" s="7" t="inlineStr"/>
      <c r="H20" s="7" t="inlineStr"/>
      <c r="I20" s="8" t="inlineStr">
        <is>
          <t>未发起</t>
        </is>
      </c>
      <c r="J20" s="7" t="inlineStr"/>
    </row>
    <row r="21" ht="42" customHeight="1">
      <c r="A21" s="4" t="n">
        <v>17</v>
      </c>
      <c r="B21" s="11" t="inlineStr">
        <is>
          <t>低</t>
        </is>
      </c>
      <c r="C21" s="6" t="inlineStr">
        <is>
          <t>9.01102/03（质量认证程序）</t>
        </is>
      </c>
      <c r="D21" s="6" t="inlineStr">
        <is>
          <t>CTS 引用，供应商质量体系文件</t>
        </is>
      </c>
      <c r="E21" s="6" t="inlineStr">
        <is>
          <t>Stellantis</t>
        </is>
      </c>
      <c r="F21" s="6" t="inlineStr"/>
      <c r="G21" s="7" t="inlineStr"/>
      <c r="H21" s="7" t="inlineStr"/>
      <c r="I21" s="8" t="inlineStr">
        <is>
          <t>未发起</t>
        </is>
      </c>
      <c r="J21" s="7" t="inlineStr"/>
    </row>
    <row r="23">
      <c r="A23" s="12" t="inlineStr">
        <is>
          <t>汇总</t>
        </is>
      </c>
    </row>
    <row r="24">
      <c r="A24" s="13" t="inlineStr">
        <is>
          <t>最高（阻塞项）</t>
        </is>
      </c>
      <c r="B24" s="14">
        <f>COUNTIF(B5:B21,"最高")</f>
        <v/>
      </c>
      <c r="C24" s="4" t="inlineStr">
        <is>
          <t>项</t>
        </is>
      </c>
      <c r="D24" s="15" t="inlineStr">
        <is>
          <t>→ 必须立即向 Stellantis 索取，否则无法报价</t>
        </is>
      </c>
    </row>
    <row r="25">
      <c r="A25" s="16" t="inlineStr">
        <is>
          <t>高（内部收集）</t>
        </is>
      </c>
      <c r="B25" s="14">
        <f>COUNTIF(B5:B21,"高")</f>
        <v/>
      </c>
      <c r="C25" s="4" t="inlineStr">
        <is>
          <t>项</t>
        </is>
      </c>
      <c r="D25" s="15" t="inlineStr">
        <is>
          <t>→ 项目经理协调内部各部门提供</t>
        </is>
      </c>
    </row>
    <row r="26">
      <c r="A26" s="7" t="inlineStr">
        <is>
          <t>中（需确认）</t>
        </is>
      </c>
      <c r="B26" s="14">
        <f>COUNTIF(B5:B21,"中")</f>
        <v/>
      </c>
      <c r="C26" s="4" t="inlineStr">
        <is>
          <t>项</t>
        </is>
      </c>
      <c r="D26" s="15" t="inlineStr">
        <is>
          <t>→ 催要邮件中一并确认，或 Technical Review 时确认</t>
        </is>
      </c>
    </row>
    <row r="27">
      <c r="A27" s="17" t="inlineStr">
        <is>
          <t>低（可后续处理）</t>
        </is>
      </c>
      <c r="B27" s="14">
        <f>COUNTIF(B5:B21,"低")</f>
        <v/>
      </c>
      <c r="C27" s="4" t="inlineStr">
        <is>
          <t>项</t>
        </is>
      </c>
      <c r="D27" s="15" t="inlineStr">
        <is>
          <t>→ 非紧急，可分批获取</t>
        </is>
      </c>
    </row>
    <row r="28">
      <c r="A28" s="18" t="inlineStr">
        <is>
          <t>合计</t>
        </is>
      </c>
      <c r="B28" s="14">
        <f>SUM(B24:B27)</f>
        <v/>
      </c>
      <c r="C28" s="4" t="inlineStr">
        <is>
          <t>项</t>
        </is>
      </c>
      <c r="D28" s="15" t="inlineStr"/>
    </row>
  </sheetData>
  <mergeCells count="8">
    <mergeCell ref="D28:J28"/>
    <mergeCell ref="A1:J1"/>
    <mergeCell ref="A23:J23"/>
    <mergeCell ref="D26:J26"/>
    <mergeCell ref="D25:J25"/>
    <mergeCell ref="D24:J24"/>
    <mergeCell ref="A2:J2"/>
    <mergeCell ref="D27:J27"/>
  </mergeCells>
  <dataValidations count="2">
    <dataValidation sqref="I5 I6 I7 I8 I9 I10 I11 I12 I13 I14 I15 I16 I17 I18 I19 I20 I21" showDropDown="0" showInputMessage="0" showErrorMessage="0" allowBlank="1" errorTitle="状态" error="请选择：未发起/已发起/已收到/不适用" type="list">
      <formula1>"未发起,已发起,已收到,不适用"</formula1>
    </dataValidation>
    <dataValidation sqref="B5 B6 B7 B8 B9 B10 B11 B12 B13 B14 B15 B16 B17 B18 B19 B20 B21" showDropDown="0" showInputMessage="0" showErrorMessage="0" allowBlank="1" type="list">
      <formula1>"最高,高,中,低"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2026-03-02T07:56:21Z</dcterms:created>
  <dcterms:modified xmlns:dcterms="http://purl.org/dc/terms/" xmlns:xsi="http://www.w3.org/2001/XMLSchema-instance" xsi:type="dcterms:W3CDTF">2026-03-02T07:56:21Z</dcterms:modified>
</cp:coreProperties>
</file>