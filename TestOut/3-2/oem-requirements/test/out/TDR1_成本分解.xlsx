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分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C00000"/>
      <sz val="9"/>
    </font>
    <font>
      <name val="Arial"/>
      <i val="1"/>
      <sz val="9"/>
    </font>
    <font>
      <name val="Arial"/>
      <b val="1"/>
      <color rgb="002F5496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right"/>
    </xf>
    <xf numFmtId="0" fontId="7" fillId="4" borderId="1" pivotButton="0" quotePrefix="0" xfId="0"/>
    <xf numFmtId="0" fontId="7" fillId="0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16" customWidth="1" min="4" max="4"/>
    <col width="16" customWidth="1" min="5" max="5"/>
    <col width="10" customWidth="1" min="6" max="6"/>
    <col width="10" customWidth="1" min="7" max="7"/>
    <col width="12" customWidth="1" min="8" max="8"/>
    <col width="22" customWidth="1" min="9" max="9"/>
  </cols>
  <sheetData>
    <row r="1">
      <c r="A1" s="1" t="inlineStr">
        <is>
          <t>协同设计成本分解（TDR #1）— KP1 燃油管路</t>
        </is>
      </c>
    </row>
    <row r="2">
      <c r="A2" s="2" t="inlineStr">
        <is>
          <t>零件号: FC00SAA78530 | ⛔ 本文件需 3D CAD 数据到手后完善材料用量和工艺路线</t>
        </is>
      </c>
    </row>
    <row r="3">
      <c r="A3" s="3" t="inlineStr">
        <is>
          <t>黄色=供应商填写 | 绿色=公式自动计算 | 红色=被阻塞（需3D数据）</t>
        </is>
      </c>
    </row>
    <row r="5">
      <c r="A5" s="4" t="inlineStr">
        <is>
          <t>一、原材料成本（基于 PPT BOM，5 个子零件）</t>
        </is>
      </c>
    </row>
    <row r="6">
      <c r="A6" s="5" t="inlineStr">
        <is>
          <t>层级</t>
        </is>
      </c>
      <c r="B6" s="5" t="inlineStr">
        <is>
          <t>零件名称</t>
        </is>
      </c>
      <c r="C6" s="5" t="inlineStr">
        <is>
          <t>数量</t>
        </is>
      </c>
      <c r="D6" s="5" t="inlineStr">
        <is>
          <t>材料</t>
        </is>
      </c>
      <c r="E6" s="5" t="inlineStr">
        <is>
          <t>材料规范</t>
        </is>
      </c>
      <c r="F6" s="5" t="inlineStr">
        <is>
          <t>单件重量
(g)</t>
        </is>
      </c>
      <c r="G6" s="5" t="inlineStr">
        <is>
          <t>材料单价
(¥/kg)</t>
        </is>
      </c>
      <c r="H6" s="5" t="inlineStr">
        <is>
          <t>材料成本
(¥/件)</t>
        </is>
      </c>
      <c r="I6" s="5" t="inlineStr">
        <is>
          <t>备注</t>
        </is>
      </c>
    </row>
    <row r="7" ht="26" customHeight="1">
      <c r="A7" s="6" t="inlineStr">
        <is>
          <t>0</t>
        </is>
      </c>
      <c r="B7" s="7" t="inlineStr">
        <is>
          <t>Fuel line damper（燃油管路减振器）</t>
        </is>
      </c>
      <c r="C7" s="6" t="n">
        <v>1</v>
      </c>
      <c r="D7" s="7" t="inlineStr">
        <is>
          <t>—</t>
        </is>
      </c>
      <c r="E7" s="7" t="inlineStr">
        <is>
          <t>—</t>
        </is>
      </c>
      <c r="F7" s="8" t="inlineStr"/>
      <c r="G7" s="8" t="inlineStr"/>
      <c r="H7" s="9">
        <f>SUM(H8:H15)</f>
        <v/>
      </c>
      <c r="I7" s="7" t="inlineStr">
        <is>
          <t>总成</t>
        </is>
      </c>
    </row>
    <row r="8" ht="26" customHeight="1">
      <c r="A8" s="6" t="inlineStr">
        <is>
          <t>1</t>
        </is>
      </c>
      <c r="B8" s="7" t="inlineStr">
        <is>
          <t>Capot（外壳/盖）</t>
        </is>
      </c>
      <c r="C8" s="6" t="n">
        <v>1</v>
      </c>
      <c r="D8" s="7" t="inlineStr">
        <is>
          <t>PA66+PA6</t>
        </is>
      </c>
      <c r="E8" s="7" t="inlineStr">
        <is>
          <t>PF.90197</t>
        </is>
      </c>
      <c r="F8" s="8" t="inlineStr"/>
      <c r="G8" s="8" t="inlineStr"/>
      <c r="H8" s="9">
        <f>F8/1000*G8</f>
        <v/>
      </c>
      <c r="I8" s="7" t="inlineStr">
        <is>
          <t>注塑件</t>
        </is>
      </c>
    </row>
    <row r="9" ht="26" customHeight="1">
      <c r="A9" s="6" t="inlineStr">
        <is>
          <t>1</t>
        </is>
      </c>
      <c r="B9" s="7" t="inlineStr">
        <is>
          <t>Spring compression 4.5bar（压缩弹簧）</t>
        </is>
      </c>
      <c r="C9" s="6" t="n">
        <v>1</v>
      </c>
      <c r="D9" s="7" t="inlineStr">
        <is>
          <t>弹簧钢丝</t>
        </is>
      </c>
      <c r="E9" s="7" t="inlineStr">
        <is>
          <t>NF EN 10270-3</t>
        </is>
      </c>
      <c r="F9" s="8" t="inlineStr"/>
      <c r="G9" s="8" t="inlineStr"/>
      <c r="H9" s="9">
        <f>F9/1000*G9</f>
        <v/>
      </c>
      <c r="I9" s="7" t="inlineStr">
        <is>
          <t>外购件</t>
        </is>
      </c>
    </row>
    <row r="10" ht="26" customHeight="1">
      <c r="A10" s="6" t="inlineStr">
        <is>
          <t>1</t>
        </is>
      </c>
      <c r="B10" s="7" t="inlineStr">
        <is>
          <t>Plug（堵头）</t>
        </is>
      </c>
      <c r="C10" s="6" t="n">
        <v>1</v>
      </c>
      <c r="D10" s="7" t="inlineStr">
        <is>
          <t>PA66 GF30</t>
        </is>
      </c>
      <c r="E10" s="7" t="inlineStr">
        <is>
          <t>MS.50017</t>
        </is>
      </c>
      <c r="F10" s="8" t="inlineStr"/>
      <c r="G10" s="8" t="inlineStr"/>
      <c r="H10" s="9">
        <f>F10/1000*G10</f>
        <v/>
      </c>
      <c r="I10" s="7" t="inlineStr">
        <is>
          <t>注塑件</t>
        </is>
      </c>
    </row>
    <row r="11" ht="26" customHeight="1">
      <c r="A11" s="6" t="inlineStr">
        <is>
          <t>1</t>
        </is>
      </c>
      <c r="B11" s="7" t="inlineStr">
        <is>
          <t>Membrane（隔膜）</t>
        </is>
      </c>
      <c r="C11" s="6" t="n">
        <v>1</v>
      </c>
      <c r="D11" s="7" t="inlineStr">
        <is>
          <t>54U6002+AgN91S</t>
        </is>
      </c>
      <c r="E11" s="7" t="inlineStr">
        <is>
          <t>—</t>
        </is>
      </c>
      <c r="F11" s="8" t="inlineStr"/>
      <c r="G11" s="8" t="inlineStr"/>
      <c r="H11" s="9">
        <f>F11/1000*G11</f>
        <v/>
      </c>
      <c r="I11" s="7" t="inlineStr">
        <is>
          <t>特殊材料</t>
        </is>
      </c>
    </row>
    <row r="12" ht="26" customHeight="1">
      <c r="A12" s="6" t="inlineStr">
        <is>
          <t>1</t>
        </is>
      </c>
      <c r="B12" s="7" t="inlineStr">
        <is>
          <t>Damper 8×10（减振器主体）</t>
        </is>
      </c>
      <c r="C12" s="6" t="n">
        <v>1</v>
      </c>
      <c r="D12" s="7" t="inlineStr">
        <is>
          <t>PA66 GF30</t>
        </is>
      </c>
      <c r="E12" s="7" t="inlineStr">
        <is>
          <t>MS.50017</t>
        </is>
      </c>
      <c r="F12" s="8" t="inlineStr"/>
      <c r="G12" s="8" t="inlineStr"/>
      <c r="H12" s="9">
        <f>F12/1000*G12</f>
        <v/>
      </c>
      <c r="I12" s="7" t="inlineStr">
        <is>
          <t>注塑件</t>
        </is>
      </c>
    </row>
    <row r="13" ht="26" customHeight="1">
      <c r="A13" s="6" t="inlineStr">
        <is>
          <t>—</t>
        </is>
      </c>
      <c r="B13" s="7" t="inlineStr">
        <is>
          <t>金属管路段</t>
        </is>
      </c>
      <c r="C13" s="6" t="inlineStr">
        <is>
          <t>—</t>
        </is>
      </c>
      <c r="D13" s="7" t="inlineStr">
        <is>
          <t>低碳钢</t>
        </is>
      </c>
      <c r="E13" s="7" t="inlineStr">
        <is>
          <t>PS.50005/06</t>
        </is>
      </c>
      <c r="F13" s="8" t="inlineStr"/>
      <c r="G13" s="8" t="inlineStr"/>
      <c r="H13" s="9">
        <f>F13/1000*G13</f>
        <v/>
      </c>
      <c r="I13" s="7" t="inlineStr">
        <is>
          <t>⛔ 需3D确认管路规格</t>
        </is>
      </c>
    </row>
    <row r="14" ht="26" customHeight="1">
      <c r="A14" s="6" t="inlineStr">
        <is>
          <t>—</t>
        </is>
      </c>
      <c r="B14" s="7" t="inlineStr">
        <is>
          <t>快插接头</t>
        </is>
      </c>
      <c r="C14" s="6" t="inlineStr">
        <is>
          <t>—</t>
        </is>
      </c>
      <c r="D14" s="7" t="inlineStr">
        <is>
          <t>—</t>
        </is>
      </c>
      <c r="E14" s="7" t="inlineStr">
        <is>
          <t>PF.90298/SAE J2044</t>
        </is>
      </c>
      <c r="F14" s="8" t="inlineStr"/>
      <c r="G14" s="8" t="inlineStr"/>
      <c r="H14" s="9">
        <f>F14/1000*G14</f>
        <v/>
      </c>
      <c r="I14" s="7" t="inlineStr">
        <is>
          <t>⛔ 需PF.90298</t>
        </is>
      </c>
    </row>
    <row r="15" ht="26" customHeight="1">
      <c r="A15" s="6" t="inlineStr">
        <is>
          <t>—</t>
        </is>
      </c>
      <c r="B15" s="7" t="inlineStr">
        <is>
          <t>保护帽（管端）</t>
        </is>
      </c>
      <c r="C15" s="6" t="inlineStr">
        <is>
          <t>—</t>
        </is>
      </c>
      <c r="D15" s="7" t="inlineStr">
        <is>
          <t>塑料/橡胶</t>
        </is>
      </c>
      <c r="E15" s="7" t="inlineStr">
        <is>
          <t>Cap.9.91220</t>
        </is>
      </c>
      <c r="F15" s="8" t="inlineStr"/>
      <c r="G15" s="8" t="inlineStr"/>
      <c r="H15" s="9">
        <f>F15/1000*G15</f>
        <v/>
      </c>
      <c r="I15" s="7" t="inlineStr"/>
    </row>
    <row r="16">
      <c r="A16" s="10" t="inlineStr">
        <is>
          <t>原材料成本小计</t>
        </is>
      </c>
      <c r="H16" s="11">
        <f>H7</f>
        <v/>
      </c>
    </row>
    <row r="18">
      <c r="A18" s="4" t="inlineStr">
        <is>
          <t>二、加工/工艺成本</t>
        </is>
      </c>
    </row>
    <row r="19">
      <c r="A19" s="5" t="inlineStr">
        <is>
          <t>序号</t>
        </is>
      </c>
      <c r="B19" s="5" t="inlineStr">
        <is>
          <t>工序</t>
        </is>
      </c>
      <c r="C19" s="5" t="inlineStr">
        <is>
          <t>设备</t>
        </is>
      </c>
      <c r="D19" s="5" t="inlineStr">
        <is>
          <t>工时
(min/件)</t>
        </is>
      </c>
      <c r="E19" s="5" t="inlineStr">
        <is>
          <t>工时费率
(¥/min)</t>
        </is>
      </c>
      <c r="F19" s="5" t="inlineStr">
        <is>
          <t>工序成本
(¥/件)</t>
        </is>
      </c>
      <c r="G19" s="5" t="inlineStr">
        <is>
          <t>备注</t>
        </is>
      </c>
    </row>
    <row r="20" ht="24" customHeight="1">
      <c r="A20" s="6" t="n">
        <v>1</v>
      </c>
      <c r="B20" s="7" t="inlineStr">
        <is>
          <t>注塑 — 外壳</t>
        </is>
      </c>
      <c r="C20" s="7" t="inlineStr">
        <is>
          <t>注塑机</t>
        </is>
      </c>
      <c r="D20" s="8" t="inlineStr"/>
      <c r="E20" s="8" t="inlineStr"/>
      <c r="F20" s="9">
        <f>D20*E20</f>
        <v/>
      </c>
      <c r="G20" s="7" t="inlineStr">
        <is>
          <t>PA66+PA6</t>
        </is>
      </c>
    </row>
    <row r="21" ht="24" customHeight="1">
      <c r="A21" s="6" t="n">
        <v>2</v>
      </c>
      <c r="B21" s="7" t="inlineStr">
        <is>
          <t>注塑 — 堵头</t>
        </is>
      </c>
      <c r="C21" s="7" t="inlineStr">
        <is>
          <t>注塑机</t>
        </is>
      </c>
      <c r="D21" s="8" t="inlineStr"/>
      <c r="E21" s="8" t="inlineStr"/>
      <c r="F21" s="9">
        <f>D21*E21</f>
        <v/>
      </c>
      <c r="G21" s="7" t="inlineStr">
        <is>
          <t>PA66 GF30</t>
        </is>
      </c>
    </row>
    <row r="22" ht="24" customHeight="1">
      <c r="A22" s="6" t="n">
        <v>3</v>
      </c>
      <c r="B22" s="7" t="inlineStr">
        <is>
          <t>注塑 — 主体</t>
        </is>
      </c>
      <c r="C22" s="7" t="inlineStr">
        <is>
          <t>注塑机</t>
        </is>
      </c>
      <c r="D22" s="8" t="inlineStr"/>
      <c r="E22" s="8" t="inlineStr"/>
      <c r="F22" s="9">
        <f>D22*E22</f>
        <v/>
      </c>
      <c r="G22" s="7" t="inlineStr">
        <is>
          <t>PA66 GF30</t>
        </is>
      </c>
    </row>
    <row r="23" ht="24" customHeight="1">
      <c r="A23" s="6" t="n">
        <v>4</v>
      </c>
      <c r="B23" s="7" t="inlineStr">
        <is>
          <t>弯管成形</t>
        </is>
      </c>
      <c r="C23" s="7" t="inlineStr">
        <is>
          <t>弯管机</t>
        </is>
      </c>
      <c r="D23" s="8" t="inlineStr"/>
      <c r="E23" s="8" t="inlineStr"/>
      <c r="F23" s="9">
        <f>D23*E23</f>
        <v/>
      </c>
      <c r="G23" s="7" t="inlineStr">
        <is>
          <t>⛔ 需3D确认管路形状</t>
        </is>
      </c>
    </row>
    <row r="24" ht="24" customHeight="1">
      <c r="A24" s="6" t="n">
        <v>5</v>
      </c>
      <c r="B24" s="7" t="inlineStr">
        <is>
          <t>金属管内表面镀镍</t>
        </is>
      </c>
      <c r="C24" s="7" t="inlineStr">
        <is>
          <t>镀镍产线</t>
        </is>
      </c>
      <c r="D24" s="8" t="inlineStr"/>
      <c r="E24" s="8" t="inlineStr"/>
      <c r="F24" s="9">
        <f>D24*E24</f>
        <v/>
      </c>
      <c r="G24" s="7" t="inlineStr">
        <is>
          <t>⚠️ CTS 关键特殊要求</t>
        </is>
      </c>
    </row>
    <row r="25" ht="24" customHeight="1">
      <c r="A25" s="6" t="n">
        <v>6</v>
      </c>
      <c r="B25" s="7" t="inlineStr">
        <is>
          <t>膜片成形/裁切</t>
        </is>
      </c>
      <c r="C25" s="7" t="inlineStr">
        <is>
          <t>—</t>
        </is>
      </c>
      <c r="D25" s="8" t="inlineStr"/>
      <c r="E25" s="8" t="inlineStr"/>
      <c r="F25" s="9">
        <f>D25*E25</f>
        <v/>
      </c>
      <c r="G25" s="7" t="inlineStr"/>
    </row>
    <row r="26" ht="24" customHeight="1">
      <c r="A26" s="6" t="n">
        <v>7</v>
      </c>
      <c r="B26" s="7" t="inlineStr">
        <is>
          <t>弹簧外购/检验</t>
        </is>
      </c>
      <c r="C26" s="7" t="inlineStr">
        <is>
          <t>—</t>
        </is>
      </c>
      <c r="D26" s="8" t="inlineStr"/>
      <c r="E26" s="8" t="inlineStr"/>
      <c r="F26" s="9">
        <f>D26*E26</f>
        <v/>
      </c>
      <c r="G26" s="7" t="inlineStr">
        <is>
          <t>来料检验</t>
        </is>
      </c>
    </row>
    <row r="27" ht="24" customHeight="1">
      <c r="A27" s="6" t="n">
        <v>8</v>
      </c>
      <c r="B27" s="7" t="inlineStr">
        <is>
          <t>总成装配</t>
        </is>
      </c>
      <c r="C27" s="7" t="inlineStr">
        <is>
          <t>装配线</t>
        </is>
      </c>
      <c r="D27" s="8" t="inlineStr"/>
      <c r="E27" s="8" t="inlineStr"/>
      <c r="F27" s="9">
        <f>D27*E27</f>
        <v/>
      </c>
      <c r="G27" s="7" t="inlineStr">
        <is>
          <t>5 个子零件</t>
        </is>
      </c>
    </row>
    <row r="28" ht="24" customHeight="1">
      <c r="A28" s="6" t="n">
        <v>9</v>
      </c>
      <c r="B28" s="7" t="inlineStr">
        <is>
          <t>泄漏检测（100%全检）</t>
        </is>
      </c>
      <c r="C28" s="7" t="inlineStr">
        <is>
          <t>检漏设备</t>
        </is>
      </c>
      <c r="D28" s="8" t="inlineStr"/>
      <c r="E28" s="8" t="inlineStr"/>
      <c r="F28" s="9">
        <f>D28*E28</f>
        <v/>
      </c>
      <c r="G28" s="7" t="inlineStr">
        <is>
          <t>VLD ≤15μm</t>
        </is>
      </c>
    </row>
    <row r="29" ht="24" customHeight="1">
      <c r="A29" s="6" t="n">
        <v>10</v>
      </c>
      <c r="B29" s="7" t="inlineStr">
        <is>
          <t>压降测试（100%全检）</t>
        </is>
      </c>
      <c r="C29" s="7" t="inlineStr">
        <is>
          <t>流量台</t>
        </is>
      </c>
      <c r="D29" s="8" t="inlineStr"/>
      <c r="E29" s="8" t="inlineStr"/>
      <c r="F29" s="9">
        <f>D29*E29</f>
        <v/>
      </c>
      <c r="G29" s="7" t="inlineStr"/>
    </row>
    <row r="30" ht="24" customHeight="1">
      <c r="A30" s="6" t="n">
        <v>11</v>
      </c>
      <c r="B30" s="7" t="inlineStr">
        <is>
          <t>清洁度控制（清洗）</t>
        </is>
      </c>
      <c r="C30" s="7" t="inlineStr">
        <is>
          <t>超声波清洗</t>
        </is>
      </c>
      <c r="D30" s="8" t="inlineStr"/>
      <c r="E30" s="8" t="inlineStr"/>
      <c r="F30" s="9">
        <f>D30*E30</f>
        <v/>
      </c>
      <c r="G30" s="7" t="inlineStr">
        <is>
          <t>≥500μm=0</t>
        </is>
      </c>
    </row>
    <row r="31" ht="24" customHeight="1">
      <c r="A31" s="6" t="n">
        <v>12</v>
      </c>
      <c r="B31" s="7" t="inlineStr">
        <is>
          <t>管端保护帽安装</t>
        </is>
      </c>
      <c r="C31" s="7" t="inlineStr">
        <is>
          <t>手动/半自动</t>
        </is>
      </c>
      <c r="D31" s="8" t="inlineStr"/>
      <c r="E31" s="8" t="inlineStr"/>
      <c r="F31" s="9">
        <f>D31*E31</f>
        <v/>
      </c>
      <c r="G31" s="7" t="inlineStr"/>
    </row>
    <row r="32" ht="24" customHeight="1">
      <c r="A32" s="6" t="n">
        <v>13</v>
      </c>
      <c r="B32" s="7" t="inlineStr">
        <is>
          <t>终检 + 包装</t>
        </is>
      </c>
      <c r="C32" s="7" t="inlineStr">
        <is>
          <t>—</t>
        </is>
      </c>
      <c r="D32" s="8" t="inlineStr"/>
      <c r="E32" s="8" t="inlineStr"/>
      <c r="F32" s="9">
        <f>D32*E32</f>
        <v/>
      </c>
      <c r="G32" s="7" t="inlineStr"/>
    </row>
    <row r="33">
      <c r="A33" s="10" t="inlineStr">
        <is>
          <t>加工成本小计</t>
        </is>
      </c>
      <c r="F33" s="11">
        <f>SUM(F20:F32)</f>
        <v/>
      </c>
    </row>
    <row r="35">
      <c r="A35" s="4" t="inlineStr">
        <is>
          <t>三、其他成本</t>
        </is>
      </c>
    </row>
    <row r="36">
      <c r="A36" s="5" t="inlineStr">
        <is>
          <t>序号</t>
        </is>
      </c>
      <c r="B36" s="5" t="inlineStr">
        <is>
          <t>费用项</t>
        </is>
      </c>
      <c r="C36" s="5" t="inlineStr">
        <is>
          <t>金额 (¥/件)</t>
        </is>
      </c>
      <c r="D36" s="5" t="inlineStr">
        <is>
          <t>分摊方式</t>
        </is>
      </c>
      <c r="E36" s="5" t="inlineStr">
        <is>
          <t>备注</t>
        </is>
      </c>
    </row>
    <row r="37" ht="24" customHeight="1">
      <c r="A37" s="6" t="n">
        <v>1</v>
      </c>
      <c r="B37" s="7" t="inlineStr">
        <is>
          <t>模具费分摊</t>
        </is>
      </c>
      <c r="C37" s="8" t="inlineStr"/>
      <c r="D37" s="7" t="inlineStr">
        <is>
          <t>按产量分摊</t>
        </is>
      </c>
      <c r="E37" s="7" t="inlineStr">
        <is>
          <t>⛔ 需产量信息</t>
        </is>
      </c>
    </row>
    <row r="38" ht="24" customHeight="1">
      <c r="A38" s="6" t="n">
        <v>2</v>
      </c>
      <c r="B38" s="7" t="inlineStr">
        <is>
          <t>DV/PV 测试费分摊</t>
        </is>
      </c>
      <c r="C38" s="8" t="inlineStr"/>
      <c r="D38" s="7" t="inlineStr">
        <is>
          <t>按产量分摊</t>
        </is>
      </c>
      <c r="E38" s="7" t="inlineStr">
        <is>
          <t>参见 C3 补充材料清单</t>
        </is>
      </c>
    </row>
    <row r="39" ht="24" customHeight="1">
      <c r="A39" s="6" t="n">
        <v>3</v>
      </c>
      <c r="B39" s="7" t="inlineStr">
        <is>
          <t>包装/物流费</t>
        </is>
      </c>
      <c r="C39" s="8" t="inlineStr"/>
      <c r="D39" s="7" t="inlineStr">
        <is>
          <t>按件</t>
        </is>
      </c>
      <c r="E39" s="7" t="inlineStr"/>
    </row>
    <row r="40" ht="24" customHeight="1">
      <c r="A40" s="6" t="n">
        <v>4</v>
      </c>
      <c r="B40" s="7" t="inlineStr">
        <is>
          <t>质量管理费（检验/SPC）</t>
        </is>
      </c>
      <c r="C40" s="8" t="inlineStr"/>
      <c r="D40" s="7" t="inlineStr">
        <is>
          <t>按件</t>
        </is>
      </c>
      <c r="E40" s="7" t="inlineStr"/>
    </row>
    <row r="41" ht="24" customHeight="1">
      <c r="A41" s="6" t="n">
        <v>5</v>
      </c>
      <c r="B41" s="7" t="inlineStr">
        <is>
          <t>管理费/利润</t>
        </is>
      </c>
      <c r="C41" s="8" t="inlineStr"/>
      <c r="D41" s="7" t="inlineStr">
        <is>
          <t>按比例</t>
        </is>
      </c>
      <c r="E41" s="7" t="inlineStr"/>
    </row>
    <row r="42" ht="24" customHeight="1">
      <c r="A42" s="6" t="n">
        <v>6</v>
      </c>
      <c r="B42" s="7" t="inlineStr">
        <is>
          <t>运费</t>
        </is>
      </c>
      <c r="C42" s="8" t="inlineStr"/>
      <c r="D42" s="7" t="inlineStr">
        <is>
          <t>按件</t>
        </is>
      </c>
      <c r="E42" s="7" t="inlineStr"/>
    </row>
    <row r="43">
      <c r="A43" s="10" t="inlineStr">
        <is>
          <t>其他成本小计</t>
        </is>
      </c>
      <c r="C43" s="11">
        <f>SUM(C37:C42)</f>
        <v/>
      </c>
    </row>
    <row r="45">
      <c r="A45" s="4" t="inlineStr">
        <is>
          <t>四、单件成本汇总</t>
        </is>
      </c>
    </row>
    <row r="46" ht="28" customHeight="1">
      <c r="A46" s="12" t="inlineStr">
        <is>
          <t>A</t>
        </is>
      </c>
      <c r="B46" s="7" t="inlineStr">
        <is>
          <t>原材料成本</t>
        </is>
      </c>
      <c r="C46" s="13">
        <f>H16</f>
        <v/>
      </c>
    </row>
    <row r="47" ht="28" customHeight="1">
      <c r="A47" s="12" t="inlineStr">
        <is>
          <t>B</t>
        </is>
      </c>
      <c r="B47" s="7" t="inlineStr">
        <is>
          <t>加工/工艺成本</t>
        </is>
      </c>
      <c r="C47" s="13">
        <f>F33</f>
        <v/>
      </c>
    </row>
    <row r="48" ht="28" customHeight="1">
      <c r="A48" s="12" t="inlineStr">
        <is>
          <t>C</t>
        </is>
      </c>
      <c r="B48" s="7" t="inlineStr">
        <is>
          <t>其他成本</t>
        </is>
      </c>
      <c r="C48" s="13">
        <f>C43</f>
        <v/>
      </c>
    </row>
    <row r="49" ht="28" customHeight="1">
      <c r="A49" s="12" t="inlineStr"/>
      <c r="B49" s="14" t="inlineStr">
        <is>
          <t>单件总成本</t>
        </is>
      </c>
      <c r="C49" s="15">
        <f>C47+C48+C49</f>
        <v/>
      </c>
    </row>
  </sheetData>
  <mergeCells count="10">
    <mergeCell ref="A2:I2"/>
    <mergeCell ref="A16:E16"/>
    <mergeCell ref="A5:I5"/>
    <mergeCell ref="A43:B43"/>
    <mergeCell ref="A33:E33"/>
    <mergeCell ref="A1:I1"/>
    <mergeCell ref="A45:I45"/>
    <mergeCell ref="A18:I18"/>
    <mergeCell ref="A3:I3"/>
    <mergeCell ref="A35:I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2026-03-02T07:36:26Z</dcterms:created>
  <dcterms:modified xmlns:dcterms="http://purl.org/dc/terms/" xmlns:xsi="http://www.w3.org/2001/XMLSchema-instance" xsi:type="dcterms:W3CDTF">2026-03-02T07:36:26Z</dcterms:modified>
</cp:coreProperties>
</file>