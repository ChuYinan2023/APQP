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bookViews>
    <workbookView xWindow="30" yWindow="75" windowWidth="20730" windowHeight="6315"/>
  </bookViews>
  <sheets>
    <sheet name="ED&amp;D PBD (Blank)" sheetId="9" r:id="rId1"/>
    <sheet name="Spending Curve (Blank)" sheetId="4" r:id="rId2"/>
    <sheet name="ED&amp;D PBD (Instructions)" sheetId="5" r:id="rId3"/>
    <sheet name="ED&amp;D PBD (Example)" sheetId="10" r:id="rId4"/>
  </sheets>
  <definedNames>
    <definedName name="_xlnm.Print_Area" localSheetId="1">'Spending Curve (Blank)'!$A$1:$O$26</definedName>
  </definedNames>
  <calcPr calcId="152511"/>
  <oleSize ref="A1:X80"/>
</workbook>
</file>

<file path=xl/comments1.xml><?xml version="1.0" encoding="utf-8"?>
<comments xmlns="http://schemas.openxmlformats.org/spreadsheetml/2006/main">
  <authors>
    <author>Administrator</author>
  </authors>
  <commentList>
    <comment ref="H22" authorId="0" shapeId="0">
      <text>
        <r>
          <rPr>
            <b/>
            <sz val="9"/>
            <color indexed="81"/>
            <rFont val="Tahoma"/>
            <family val="2"/>
          </rPr>
          <t>CAD-CAE licences costs already included in SG&amp;A compensation</t>
        </r>
        <r>
          <rPr>
            <sz val="9"/>
            <color indexed="81"/>
            <rFont val="Tahoma"/>
            <family val="2"/>
          </rPr>
          <t xml:space="preserve">
</t>
        </r>
      </text>
    </comment>
    <comment ref="L22" authorId="0" shapeId="0">
      <text>
        <r>
          <rPr>
            <b/>
            <sz val="9"/>
            <color indexed="81"/>
            <rFont val="Tahoma"/>
            <family val="2"/>
          </rPr>
          <t>CAD-CAE licences costs already included in SG&amp;A compensation</t>
        </r>
        <r>
          <rPr>
            <sz val="9"/>
            <color indexed="81"/>
            <rFont val="Tahoma"/>
            <family val="2"/>
          </rPr>
          <t xml:space="preserve">
</t>
        </r>
      </text>
    </comment>
    <comment ref="O22" authorId="0" shapeId="0">
      <text>
        <r>
          <rPr>
            <b/>
            <sz val="9"/>
            <color indexed="81"/>
            <rFont val="Tahoma"/>
            <family val="2"/>
          </rPr>
          <t>CAD-CAE licences costs already included in SG&amp;A compensation</t>
        </r>
        <r>
          <rPr>
            <sz val="9"/>
            <color indexed="81"/>
            <rFont val="Tahoma"/>
            <family val="2"/>
          </rPr>
          <t xml:space="preserve">
</t>
        </r>
      </text>
    </comment>
    <comment ref="G42" authorId="0" shapeId="0">
      <text>
        <r>
          <rPr>
            <b/>
            <sz val="9"/>
            <color indexed="81"/>
            <rFont val="Tahoma"/>
            <family val="2"/>
          </rPr>
          <t>Facilities &amp; equipment already included in SG&amp;A.</t>
        </r>
        <r>
          <rPr>
            <sz val="9"/>
            <color indexed="81"/>
            <rFont val="Tahoma"/>
            <family val="2"/>
          </rPr>
          <t xml:space="preserve">
</t>
        </r>
      </text>
    </comment>
  </commentList>
</comments>
</file>

<file path=xl/comments2.xml><?xml version="1.0" encoding="utf-8"?>
<comments xmlns="http://schemas.openxmlformats.org/spreadsheetml/2006/main">
  <authors>
    <author>Administrator</author>
  </authors>
  <commentList>
    <comment ref="H22" authorId="0" shapeId="0">
      <text>
        <r>
          <rPr>
            <b/>
            <sz val="9"/>
            <color indexed="81"/>
            <rFont val="Tahoma"/>
            <family val="2"/>
          </rPr>
          <t>CAD-CAE licences costs already included in SG&amp;A compensation</t>
        </r>
        <r>
          <rPr>
            <sz val="9"/>
            <color indexed="81"/>
            <rFont val="Tahoma"/>
            <family val="2"/>
          </rPr>
          <t xml:space="preserve">
</t>
        </r>
      </text>
    </comment>
    <comment ref="L22" authorId="0" shapeId="0">
      <text>
        <r>
          <rPr>
            <b/>
            <sz val="9"/>
            <color indexed="81"/>
            <rFont val="Tahoma"/>
            <family val="2"/>
          </rPr>
          <t>CAD-CAE licences costs already included in SG&amp;A compensation</t>
        </r>
        <r>
          <rPr>
            <sz val="9"/>
            <color indexed="81"/>
            <rFont val="Tahoma"/>
            <family val="2"/>
          </rPr>
          <t xml:space="preserve">
</t>
        </r>
      </text>
    </comment>
    <comment ref="O22" authorId="0" shapeId="0">
      <text>
        <r>
          <rPr>
            <b/>
            <sz val="9"/>
            <color indexed="81"/>
            <rFont val="Tahoma"/>
            <family val="2"/>
          </rPr>
          <t>CAD-CAE licences costs already included in SG&amp;A compensation</t>
        </r>
        <r>
          <rPr>
            <sz val="9"/>
            <color indexed="81"/>
            <rFont val="Tahoma"/>
            <family val="2"/>
          </rPr>
          <t xml:space="preserve">
</t>
        </r>
      </text>
    </comment>
    <comment ref="G42" authorId="0" shapeId="0">
      <text>
        <r>
          <rPr>
            <b/>
            <sz val="9"/>
            <color indexed="81"/>
            <rFont val="Tahoma"/>
            <family val="2"/>
          </rPr>
          <t>Facilities &amp; equipment already included in SG&amp;A.</t>
        </r>
        <r>
          <rPr>
            <sz val="9"/>
            <color indexed="81"/>
            <rFont val="Tahoma"/>
            <family val="2"/>
          </rPr>
          <t xml:space="preserve">
</t>
        </r>
      </text>
    </comment>
  </commentList>
</comments>
</file>

<file path=xl/comments3.xml><?xml version="1.0" encoding="utf-8"?>
<comments xmlns="http://schemas.openxmlformats.org/spreadsheetml/2006/main">
  <authors>
    <author>Administrator</author>
  </authors>
  <commentList>
    <comment ref="H22" authorId="0" shapeId="0">
      <text>
        <r>
          <rPr>
            <b/>
            <sz val="9"/>
            <color indexed="81"/>
            <rFont val="Tahoma"/>
            <family val="2"/>
          </rPr>
          <t>CAD-CAE licences costs already included in SG&amp;A compensation</t>
        </r>
        <r>
          <rPr>
            <sz val="9"/>
            <color indexed="81"/>
            <rFont val="Tahoma"/>
            <family val="2"/>
          </rPr>
          <t xml:space="preserve">
</t>
        </r>
      </text>
    </comment>
    <comment ref="L22" authorId="0" shapeId="0">
      <text>
        <r>
          <rPr>
            <b/>
            <sz val="9"/>
            <color indexed="81"/>
            <rFont val="Tahoma"/>
            <family val="2"/>
          </rPr>
          <t>CAD-CAE licences costs already included in SG&amp;A compensation</t>
        </r>
        <r>
          <rPr>
            <sz val="9"/>
            <color indexed="81"/>
            <rFont val="Tahoma"/>
            <family val="2"/>
          </rPr>
          <t xml:space="preserve">
</t>
        </r>
      </text>
    </comment>
    <comment ref="O22" authorId="0" shapeId="0">
      <text>
        <r>
          <rPr>
            <b/>
            <sz val="9"/>
            <color indexed="81"/>
            <rFont val="Tahoma"/>
            <family val="2"/>
          </rPr>
          <t>CAD-CAE licences costs already included in SG&amp;A compensation</t>
        </r>
        <r>
          <rPr>
            <sz val="9"/>
            <color indexed="81"/>
            <rFont val="Tahoma"/>
            <family val="2"/>
          </rPr>
          <t xml:space="preserve">
</t>
        </r>
      </text>
    </comment>
    <comment ref="G42" authorId="0" shapeId="0">
      <text>
        <r>
          <rPr>
            <b/>
            <sz val="9"/>
            <color indexed="81"/>
            <rFont val="Tahoma"/>
            <family val="2"/>
          </rPr>
          <t>Facilities &amp; equipment already included in SG&amp;A.</t>
        </r>
        <r>
          <rPr>
            <sz val="9"/>
            <color indexed="81"/>
            <rFont val="Tahoma"/>
            <family val="2"/>
          </rPr>
          <t xml:space="preserve">
</t>
        </r>
      </text>
    </comment>
  </commentList>
</comments>
</file>

<file path=xl/sharedStrings.xml><?xml version="1.0" encoding="utf-8"?>
<sst xmlns="http://schemas.openxmlformats.org/spreadsheetml/2006/main" count="434" uniqueCount="134">
  <si>
    <t>Time</t>
  </si>
  <si>
    <t>Cost</t>
  </si>
  <si>
    <t>[hours]</t>
  </si>
  <si>
    <t>Total</t>
  </si>
  <si>
    <t>Total Eng</t>
  </si>
  <si>
    <t>Salary fully Fringed</t>
  </si>
  <si>
    <t>Total Tech</t>
  </si>
  <si>
    <t>Grand Total</t>
  </si>
  <si>
    <t xml:space="preserve">Engineering </t>
  </si>
  <si>
    <t xml:space="preserve"># of </t>
  </si>
  <si>
    <t>Tests</t>
  </si>
  <si>
    <t>per Test</t>
  </si>
  <si>
    <t>CAD</t>
  </si>
  <si>
    <t>test</t>
  </si>
  <si>
    <t>Team Roster</t>
  </si>
  <si>
    <t>Role</t>
  </si>
  <si>
    <t>Return to :</t>
  </si>
  <si>
    <t>Annual Volume</t>
  </si>
  <si>
    <t>Submission Date</t>
  </si>
  <si>
    <t>Supplier to Complete</t>
  </si>
  <si>
    <t>Purpose</t>
  </si>
  <si>
    <t>- Prototype parts &amp; tooling, developmental / Pilot Parts (paid via separate requisition)</t>
  </si>
  <si>
    <t>- Homologation Requirements</t>
  </si>
  <si>
    <t>- Process Sign-off (PSO) and Production Part Approval Process (PPAP)</t>
  </si>
  <si>
    <t>type of</t>
  </si>
  <si>
    <t>ED&amp;D Tracking Number</t>
  </si>
  <si>
    <t>Supplier Name</t>
  </si>
  <si>
    <t>Model Year &amp; Vehicle (ie 2012 WD)</t>
  </si>
  <si>
    <t>Years Experience</t>
  </si>
  <si>
    <t>Hours</t>
  </si>
  <si>
    <t>Date role disengages</t>
  </si>
  <si>
    <t>Date role engages</t>
  </si>
  <si>
    <t>Software Developers</t>
  </si>
  <si>
    <t>Supplier to Complete (Labor Costs)</t>
  </si>
  <si>
    <t>Deliverable Name and Description</t>
  </si>
  <si>
    <t>Due Date</t>
  </si>
  <si>
    <t>Allocated Fee Amount (Total)</t>
  </si>
  <si>
    <t>Month 1</t>
  </si>
  <si>
    <t>Month 2</t>
  </si>
  <si>
    <t>Month 3</t>
  </si>
  <si>
    <t>Month 4</t>
  </si>
  <si>
    <t>Month 5</t>
  </si>
  <si>
    <t>Month 6</t>
  </si>
  <si>
    <t>Month 7</t>
  </si>
  <si>
    <t>Month 8</t>
  </si>
  <si>
    <t>Month 9</t>
  </si>
  <si>
    <t>Month 10</t>
  </si>
  <si>
    <t>Month 11</t>
  </si>
  <si>
    <t>Month 12</t>
  </si>
  <si>
    <t>Aggregate Spend</t>
  </si>
  <si>
    <t>Totals</t>
  </si>
  <si>
    <t>Projected Monthly Deliverable Expenses</t>
  </si>
  <si>
    <t>The following is considered valid for advance ED&amp;D Payment:</t>
  </si>
  <si>
    <t>- Software Engineering</t>
  </si>
  <si>
    <t>- Product Engineering</t>
  </si>
  <si>
    <t>- Design Validation Expenses (Time and Materials)</t>
  </si>
  <si>
    <t>- CAD Design</t>
  </si>
  <si>
    <t>The following is NOT considered valid for advance ED&amp;D Payment:</t>
  </si>
  <si>
    <t>Name / NIC</t>
  </si>
  <si>
    <t>ED&amp;D Engineer to Complete the following:</t>
  </si>
  <si>
    <t>Part Name:</t>
  </si>
  <si>
    <t>Reviewed by (ED&amp;D Analyst):</t>
  </si>
  <si>
    <t>Project Scope</t>
  </si>
  <si>
    <t>Is the part production sourced?</t>
  </si>
  <si>
    <t>Supplier to Complete (Design Mock Up Costs)</t>
  </si>
  <si>
    <t>Yes</t>
  </si>
  <si>
    <t>No</t>
  </si>
  <si>
    <t>CN #</t>
  </si>
  <si>
    <t>Source Package</t>
  </si>
  <si>
    <t>Physical Location</t>
  </si>
  <si>
    <t>?</t>
  </si>
  <si>
    <t>[QTY]</t>
  </si>
  <si>
    <t>CN</t>
  </si>
  <si>
    <t xml:space="preserve"> Properties/Parts required to complete design (i.e. Stereolitography support parts)</t>
  </si>
  <si>
    <t>FCA Engineer to Complete the following:</t>
  </si>
  <si>
    <t>Approved by (FCA Engineer):</t>
  </si>
  <si>
    <t>Approved by (FCA Eng Mgr):</t>
  </si>
  <si>
    <t>Approved &amp; Funding Verified by (FCA MR):</t>
  </si>
  <si>
    <t>EPAS Control Number (nafta requisition number)</t>
  </si>
  <si>
    <t>SR</t>
  </si>
  <si>
    <t>DR</t>
  </si>
  <si>
    <t>Estimated costs</t>
  </si>
  <si>
    <t>ER&amp;D estimated</t>
  </si>
  <si>
    <t>Model planner</t>
  </si>
  <si>
    <t>Approved by (FCA Buyer):</t>
  </si>
  <si>
    <t>Approved by (FCA Commodity Mgr):</t>
  </si>
  <si>
    <t>- Corrections to Supplier Design Errors (actions not driven by FCA)</t>
  </si>
  <si>
    <t>- Product Validation Testing / Reporting</t>
  </si>
  <si>
    <t>Design validation testing subtotals</t>
  </si>
  <si>
    <t>Self-Certification testing subtotals</t>
  </si>
  <si>
    <t>Homologation testing subtotals (where applicable)</t>
  </si>
  <si>
    <t>Note:  This quotation is subject to terms of a FCA purchase order and / or ED&amp;D contract.  The Supplier must comply with the FCA Group Supplier Design Acceptance process, which includes completion of the applicable portions of the Supplier Design Acceptance checklist at Step 2, Step 3, and Step 5. The checklist is available in the “Reference” section of the http://FCA.portal.covisint.com website.</t>
  </si>
  <si>
    <t>Supplier ED&amp;D Price Break Down Template
ED&amp;D PBD</t>
  </si>
  <si>
    <t>Supplier to Complete (Testing related Costs)</t>
  </si>
  <si>
    <t>Design Validation Parts</t>
  </si>
  <si>
    <t>Process Validation Parts</t>
  </si>
  <si>
    <t xml:space="preserve">FCA to identify quantities, Supplier to Complete </t>
  </si>
  <si>
    <t>- Program Management (ONLY if FULLY dedicated to program)</t>
  </si>
  <si>
    <t>-1st PPAP</t>
  </si>
  <si>
    <t>AAAAAAAAAAAA</t>
  </si>
  <si>
    <t>xxxxxxxxxxxxxxxx</t>
  </si>
  <si>
    <t>Macro-Description of Work to be Completed:</t>
  </si>
  <si>
    <t>aaaa</t>
  </si>
  <si>
    <t>aaaaa</t>
  </si>
  <si>
    <t>xxxx</t>
  </si>
  <si>
    <t>[€/hr]</t>
  </si>
  <si>
    <t>[€/pc]</t>
  </si>
  <si>
    <t xml:space="preserve"> Properties/Parts required to complete FCA design (previously ordered by SK-F and other)</t>
  </si>
  <si>
    <t>salary/hourly rate w/o facilities depreciation overheads</t>
  </si>
  <si>
    <t>xxx</t>
  </si>
  <si>
    <t>List by role/activities</t>
  </si>
  <si>
    <t>Jeff Briggs ED&amp;D</t>
  </si>
  <si>
    <t>Pre-feasibility</t>
  </si>
  <si>
    <t>Torino - IT</t>
  </si>
  <si>
    <t>3D CAD Modelling</t>
  </si>
  <si>
    <t>2D CAD Drawings, CAD Annotations, GD&amp;T</t>
  </si>
  <si>
    <t>CAE Virtual Analysis</t>
  </si>
  <si>
    <t>Combined vibration and heat shock - High Temperature</t>
  </si>
  <si>
    <t>Physical</t>
  </si>
  <si>
    <t>Physical design validation</t>
  </si>
  <si>
    <t>Combined vibration and heat shock - Low Temperature</t>
  </si>
  <si>
    <t>Physical process validation</t>
  </si>
  <si>
    <t>AAAAAAAAAA</t>
  </si>
  <si>
    <t>Designer</t>
  </si>
  <si>
    <t>CCCCCCCCCCCCCC</t>
  </si>
  <si>
    <t>PC</t>
  </si>
  <si>
    <t>BBBBBBBBBBBB</t>
  </si>
  <si>
    <t>Product Expert</t>
  </si>
  <si>
    <t>Software development (if required)</t>
  </si>
  <si>
    <t>FMEA Assestment (if required)</t>
  </si>
  <si>
    <t>Data release in TeamCenter (if required)</t>
  </si>
  <si>
    <t>FTE's average</t>
  </si>
  <si>
    <t>Converters - C Level</t>
  </si>
  <si>
    <t>Converters - OTOP</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</si>
</sst>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_);_(&quot;$&quot;* \(#,##0\);_(&quot;$&quot;* &quot;-&quot;_);_(@_)"/>
    <numFmt numFmtId="165" formatCode="_(&quot;$&quot;* #,##0.00_);_(&quot;$&quot;* \(#,##0.00\);_(&quot;$&quot;* &quot;-&quot;??_);_(@_)"/>
    <numFmt numFmtId="166" formatCode="_(* #,##0.00_);_(* \(#,##0.00\);_(* &quot;-&quot;??_);_(@_)"/>
    <numFmt numFmtId="167" formatCode="_(&quot;$&quot;* #,##0_);_(&quot;$&quot;* \(#,##0\);_(&quot;$&quot;* &quot;-&quot;??_);_(@_)"/>
    <numFmt numFmtId="168" formatCode="&quot;€&quot;\ #,##0.00"/>
    <numFmt numFmtId="169" formatCode="&quot;€&quot;\ #,##0"/>
    <numFmt numFmtId="170" formatCode="[$€-410]\ #,##0.00"/>
  </numFmts>
  <fonts count="45" x14ac:knownFonts="1">
    <font>
      <sz val="10"/>
      <name val="Arial"/>
    </font>
    <font>
      <sz val="10"/>
      <name val="Arial"/>
      <family val="2"/>
    </font>
    <font>
      <sz val="14"/>
      <name val="Arial"/>
      <family val="2"/>
    </font>
    <font>
      <b/>
      <sz val="11"/>
      <name val="Arial"/>
      <family val="2"/>
    </font>
    <font>
      <b/>
      <sz val="10"/>
      <name val="Arial"/>
      <family val="2"/>
    </font>
    <font>
      <b/>
      <sz val="10"/>
      <name val="Arial"/>
      <family val="2"/>
    </font>
    <font>
      <u/>
      <sz val="10"/>
      <color indexed="12"/>
      <name val="Arial"/>
      <family val="2"/>
    </font>
    <font>
      <b/>
      <i/>
      <sz val="10"/>
      <name val="Arial"/>
      <family val="2"/>
    </font>
    <font>
      <sz val="10"/>
      <name val="Arial"/>
      <family val="2"/>
    </font>
    <font>
      <b/>
      <sz val="14"/>
      <name val="Arial"/>
      <family val="2"/>
    </font>
    <font>
      <b/>
      <sz val="18"/>
      <name val="Arial"/>
      <family val="2"/>
    </font>
    <font>
      <i/>
      <sz val="11"/>
      <color indexed="48"/>
      <name val="Arial"/>
      <family val="2"/>
    </font>
    <font>
      <sz val="10"/>
      <color indexed="48"/>
      <name val="Arial"/>
      <family val="2"/>
    </font>
    <font>
      <sz val="10"/>
      <color indexed="48"/>
      <name val="Arial"/>
      <family val="2"/>
    </font>
    <font>
      <i/>
      <sz val="12"/>
      <color indexed="48"/>
      <name val="Arial"/>
      <family val="2"/>
    </font>
    <font>
      <sz val="14"/>
      <name val="Arial"/>
      <family val="2"/>
    </font>
    <font>
      <sz val="12"/>
      <name val="Arial"/>
      <family val="2"/>
    </font>
    <font>
      <u/>
      <sz val="14"/>
      <name val="Arial"/>
      <family val="2"/>
    </font>
    <font>
      <sz val="10"/>
      <name val="Arial"/>
      <family val="2"/>
    </font>
    <font>
      <sz val="11"/>
      <color indexed="8"/>
      <name val="Calibri"/>
      <family val="2"/>
    </font>
    <font>
      <b/>
      <sz val="12"/>
      <name val="Arial"/>
      <family val="2"/>
    </font>
    <font>
      <sz val="12"/>
      <color indexed="12"/>
      <name val="Arial"/>
      <family val="2"/>
    </font>
    <font>
      <sz val="11"/>
      <name val="Arial"/>
      <family val="2"/>
    </font>
    <font>
      <sz val="10"/>
      <name val="Arial"/>
      <family val="2"/>
    </font>
    <font>
      <sz val="11"/>
      <color theme="1"/>
      <name val="Calibri"/>
      <family val="2"/>
      <scheme val="minor"/>
    </font>
    <font>
      <sz val="9"/>
      <color indexed="81"/>
      <name val="Tahoma"/>
      <family val="2"/>
    </font>
    <font>
      <b/>
      <sz val="9"/>
      <color indexed="81"/>
      <name val="Tahoma"/>
      <family val="2"/>
    </font>
    <font>
      <b/>
      <sz val="18"/>
      <color theme="0"/>
      <name val="Arial"/>
      <family val="2"/>
    </font>
    <font>
      <b/>
      <sz val="14"/>
      <color theme="0"/>
      <name val="Arial"/>
      <family val="2"/>
    </font>
    <font>
      <b/>
      <sz val="10"/>
      <color theme="0"/>
      <name val="Arial"/>
      <family val="2"/>
    </font>
    <font>
      <sz val="10"/>
      <color theme="0"/>
      <name val="Arial"/>
      <family val="2"/>
    </font>
    <font>
      <b/>
      <sz val="11"/>
      <color theme="0"/>
      <name val="Arial"/>
      <family val="2"/>
    </font>
    <font>
      <sz val="11"/>
      <color theme="0"/>
      <name val="Arial"/>
      <family val="2"/>
    </font>
    <font>
      <b/>
      <sz val="10"/>
      <color rgb="FF002060"/>
      <name val="Arial"/>
      <family val="2"/>
    </font>
    <font>
      <b/>
      <sz val="11"/>
      <color rgb="FF002060"/>
      <name val="Arial"/>
      <family val="2"/>
    </font>
    <font>
      <b/>
      <sz val="20"/>
      <color rgb="FF002060"/>
      <name val="Arial"/>
      <family val="2"/>
    </font>
    <font>
      <b/>
      <i/>
      <sz val="10"/>
      <color rgb="FF002060"/>
      <name val="Arial"/>
      <family val="2"/>
    </font>
    <font>
      <i/>
      <sz val="10"/>
      <color rgb="FF002060"/>
      <name val="Arial"/>
      <family val="2"/>
    </font>
    <font>
      <sz val="10"/>
      <color rgb="FF002060"/>
      <name val="Arial"/>
      <family val="2"/>
    </font>
    <font>
      <b/>
      <i/>
      <sz val="10"/>
      <color theme="0"/>
      <name val="Arial"/>
      <family val="2"/>
    </font>
    <font>
      <i/>
      <sz val="10"/>
      <color theme="0"/>
      <name val="Arial"/>
      <family val="2"/>
    </font>
    <font>
      <b/>
      <sz val="11"/>
      <color rgb="FFC00000"/>
      <name val="Arial"/>
      <family val="2"/>
    </font>
    <font>
      <b/>
      <sz val="11"/>
      <color rgb="FF0070C0"/>
      <name val="Arial"/>
      <family val="2"/>
    </font>
    <font>
      <b/>
      <sz val="12"/>
      <color indexed="12"/>
      <name val="Arial"/>
      <family val="2"/>
    </font>
    <font>
      <b/>
      <sz val="10"/>
      <color indexed="48"/>
      <name val="Arial"/>
      <family val="2"/>
    </font>
  </fonts>
  <fills count="8">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4"/>
        <bgColor indexed="64"/>
      </patternFill>
    </fill>
    <fill>
      <patternFill patternType="solid">
        <fgColor theme="0" tint="-0.499984740745262"/>
        <bgColor indexed="64"/>
      </patternFill>
    </fill>
  </fills>
  <borders count="98">
    <border>
      <left/>
      <right/>
      <top/>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top style="medium">
        <color indexed="64"/>
      </top>
      <bottom/>
      <diagonal/>
    </border>
    <border>
      <left/>
      <right/>
      <top style="thin">
        <color indexed="64"/>
      </top>
      <bottom/>
      <diagonal/>
    </border>
    <border>
      <left style="thin">
        <color indexed="64"/>
      </left>
      <right/>
      <top style="medium">
        <color indexed="64"/>
      </top>
      <bottom/>
      <diagonal/>
    </border>
    <border>
      <left/>
      <right style="medium">
        <color indexed="64"/>
      </right>
      <top/>
      <bottom style="thin">
        <color indexed="64"/>
      </bottom>
      <diagonal/>
    </border>
    <border>
      <left/>
      <right/>
      <top/>
      <bottom style="thin">
        <color indexed="64"/>
      </bottom>
      <diagonal/>
    </border>
    <border>
      <left/>
      <right style="medium">
        <color indexed="64"/>
      </right>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hair">
        <color indexed="64"/>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style="hair">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bottom style="medium">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hair">
        <color indexed="64"/>
      </top>
      <bottom style="thin">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hair">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hair">
        <color indexed="64"/>
      </top>
      <bottom/>
      <diagonal/>
    </border>
    <border>
      <left/>
      <right style="medium">
        <color indexed="64"/>
      </right>
      <top style="hair">
        <color indexed="64"/>
      </top>
      <bottom/>
      <diagonal/>
    </border>
    <border>
      <left/>
      <right/>
      <top/>
      <bottom style="hair">
        <color indexed="64"/>
      </bottom>
      <diagonal/>
    </border>
    <border>
      <left/>
      <right style="medium">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medium">
        <color indexed="64"/>
      </right>
      <top/>
      <bottom style="hair">
        <color indexed="64"/>
      </bottom>
      <diagonal/>
    </border>
  </borders>
  <cellStyleXfs count="5">
    <xf numFmtId="0" fontId="0" fillId="0" borderId="0"/>
    <xf numFmtId="166" fontId="19" fillId="0" borderId="0" applyFont="0" applyFill="0" applyBorder="0" applyAlignment="0" applyProtection="0"/>
    <xf numFmtId="165" fontId="1" fillId="0" borderId="0" applyFont="0" applyFill="0" applyBorder="0" applyAlignment="0" applyProtection="0"/>
    <xf numFmtId="0" fontId="6" fillId="0" borderId="0" applyNumberFormat="0" applyFill="0" applyBorder="0" applyAlignment="0" applyProtection="0">
      <alignment vertical="top"/>
      <protection locked="0"/>
    </xf>
    <xf numFmtId="0" fontId="24" fillId="0" borderId="0"/>
  </cellStyleXfs>
  <cellXfs count="415">
    <xf numFmtId="0" fontId="0" fillId="0" borderId="0" xfId="0"/>
    <xf numFmtId="0" fontId="2" fillId="0" borderId="0" xfId="0" applyFont="1"/>
    <xf numFmtId="0" fontId="0" fillId="0" borderId="3" xfId="0" applyBorder="1"/>
    <xf numFmtId="0" fontId="5" fillId="0" borderId="2" xfId="0" applyFont="1" applyFill="1" applyBorder="1" applyAlignment="1">
      <alignment horizontal="center"/>
    </xf>
    <xf numFmtId="0" fontId="5" fillId="0" borderId="8" xfId="0" applyFont="1" applyFill="1" applyBorder="1" applyAlignment="1">
      <alignment horizontal="center"/>
    </xf>
    <xf numFmtId="2" fontId="0" fillId="0" borderId="8" xfId="0" applyNumberFormat="1" applyFill="1" applyBorder="1" applyAlignment="1"/>
    <xf numFmtId="167" fontId="5" fillId="0" borderId="8" xfId="2" applyNumberFormat="1" applyFont="1" applyFill="1" applyBorder="1" applyAlignment="1"/>
    <xf numFmtId="0" fontId="5" fillId="0" borderId="8" xfId="0" applyFont="1" applyFill="1" applyBorder="1" applyAlignment="1"/>
    <xf numFmtId="0" fontId="0" fillId="0" borderId="0" xfId="0" applyFill="1" applyBorder="1" applyAlignment="1"/>
    <xf numFmtId="167" fontId="5" fillId="0" borderId="0" xfId="2" applyNumberFormat="1" applyFont="1" applyBorder="1"/>
    <xf numFmtId="0" fontId="0" fillId="0" borderId="0" xfId="0" applyBorder="1"/>
    <xf numFmtId="0" fontId="7" fillId="0" borderId="10" xfId="0" applyFont="1" applyFill="1" applyBorder="1" applyAlignment="1">
      <alignment horizontal="center"/>
    </xf>
    <xf numFmtId="0" fontId="4" fillId="0" borderId="17" xfId="0" applyFont="1" applyFill="1" applyBorder="1" applyAlignment="1">
      <alignment horizontal="left"/>
    </xf>
    <xf numFmtId="0" fontId="4" fillId="0" borderId="8" xfId="0" applyFont="1" applyFill="1" applyBorder="1" applyAlignment="1">
      <alignment horizontal="left"/>
    </xf>
    <xf numFmtId="0" fontId="3" fillId="0" borderId="11" xfId="0" applyFont="1" applyFill="1" applyBorder="1" applyAlignment="1">
      <alignment horizontal="left"/>
    </xf>
    <xf numFmtId="0" fontId="0" fillId="0" borderId="0" xfId="0" applyAlignment="1"/>
    <xf numFmtId="0" fontId="0" fillId="0" borderId="0" xfId="0" applyAlignment="1">
      <alignment horizontal="center"/>
    </xf>
    <xf numFmtId="0" fontId="11" fillId="0" borderId="20" xfId="0" applyFont="1" applyFill="1" applyBorder="1" applyAlignment="1">
      <alignment horizontal="left"/>
    </xf>
    <xf numFmtId="0" fontId="4" fillId="0" borderId="0" xfId="0" applyFont="1" applyFill="1" applyBorder="1" applyAlignment="1">
      <alignment horizontal="left"/>
    </xf>
    <xf numFmtId="0" fontId="5" fillId="0" borderId="0" xfId="0" applyFont="1" applyFill="1" applyBorder="1" applyAlignment="1">
      <alignment horizontal="center"/>
    </xf>
    <xf numFmtId="0" fontId="11" fillId="0" borderId="5" xfId="0" applyFont="1" applyFill="1" applyBorder="1" applyAlignment="1">
      <alignment horizontal="left"/>
    </xf>
    <xf numFmtId="0" fontId="4" fillId="0" borderId="13" xfId="0" applyFont="1" applyFill="1" applyBorder="1" applyAlignment="1">
      <alignment horizontal="left"/>
    </xf>
    <xf numFmtId="0" fontId="0" fillId="0" borderId="0" xfId="0" applyAlignment="1">
      <alignment horizontal="left"/>
    </xf>
    <xf numFmtId="0" fontId="15" fillId="0" borderId="0" xfId="0" applyFont="1" applyBorder="1" applyAlignment="1"/>
    <xf numFmtId="0" fontId="5" fillId="0" borderId="0" xfId="0" applyFont="1" applyBorder="1"/>
    <xf numFmtId="0" fontId="0" fillId="2" borderId="0" xfId="0" applyFill="1" applyBorder="1" applyAlignment="1">
      <alignment horizontal="center"/>
    </xf>
    <xf numFmtId="0" fontId="12" fillId="2" borderId="23" xfId="0" applyFont="1" applyFill="1" applyBorder="1" applyAlignment="1">
      <alignment horizontal="left"/>
    </xf>
    <xf numFmtId="1" fontId="0" fillId="2" borderId="0" xfId="0" applyNumberFormat="1" applyFill="1" applyBorder="1" applyAlignment="1">
      <alignment horizontal="center"/>
    </xf>
    <xf numFmtId="0" fontId="9" fillId="0" borderId="0" xfId="0" applyFont="1" applyBorder="1" applyAlignment="1">
      <alignment horizontal="left"/>
    </xf>
    <xf numFmtId="0" fontId="15" fillId="0" borderId="0" xfId="0" quotePrefix="1" applyFont="1" applyBorder="1" applyAlignment="1"/>
    <xf numFmtId="0" fontId="2" fillId="0" borderId="0" xfId="0" quotePrefix="1" applyFont="1" applyBorder="1" applyAlignment="1"/>
    <xf numFmtId="0" fontId="17" fillId="0" borderId="0" xfId="0" applyFont="1" applyBorder="1" applyAlignment="1"/>
    <xf numFmtId="0" fontId="15" fillId="0" borderId="0" xfId="0" quotePrefix="1" applyFont="1" applyBorder="1"/>
    <xf numFmtId="0" fontId="2" fillId="0" borderId="0" xfId="0" quotePrefix="1" applyFont="1" applyBorder="1"/>
    <xf numFmtId="0" fontId="12" fillId="2" borderId="16" xfId="0" applyFont="1" applyFill="1" applyBorder="1" applyAlignment="1">
      <alignment horizontal="left"/>
    </xf>
    <xf numFmtId="0" fontId="14" fillId="0" borderId="0" xfId="0" applyFont="1" applyAlignment="1"/>
    <xf numFmtId="0" fontId="4" fillId="0" borderId="0" xfId="0" applyFont="1" applyBorder="1"/>
    <xf numFmtId="0" fontId="4" fillId="0" borderId="31" xfId="0" applyFont="1" applyBorder="1"/>
    <xf numFmtId="0" fontId="0" fillId="0" borderId="12" xfId="0" applyBorder="1"/>
    <xf numFmtId="0" fontId="5" fillId="0" borderId="31" xfId="0" applyFont="1" applyBorder="1"/>
    <xf numFmtId="0" fontId="4" fillId="0" borderId="31" xfId="0" applyFont="1" applyFill="1" applyBorder="1"/>
    <xf numFmtId="0" fontId="4" fillId="0" borderId="33" xfId="0" applyFont="1" applyBorder="1"/>
    <xf numFmtId="0" fontId="5" fillId="0" borderId="3" xfId="0" applyFont="1" applyBorder="1"/>
    <xf numFmtId="0" fontId="10" fillId="0" borderId="0" xfId="0" applyFont="1" applyBorder="1" applyAlignment="1">
      <alignment horizontal="left"/>
    </xf>
    <xf numFmtId="0" fontId="0" fillId="0" borderId="11" xfId="0" applyFill="1" applyBorder="1" applyAlignment="1"/>
    <xf numFmtId="0" fontId="3" fillId="0" borderId="35" xfId="0" applyFont="1" applyFill="1" applyBorder="1" applyAlignment="1">
      <alignment horizontal="left"/>
    </xf>
    <xf numFmtId="0" fontId="7" fillId="0" borderId="36" xfId="0" applyFont="1" applyFill="1" applyBorder="1" applyAlignment="1">
      <alignment horizontal="center"/>
    </xf>
    <xf numFmtId="0" fontId="0" fillId="2" borderId="47" xfId="0" applyFill="1" applyBorder="1"/>
    <xf numFmtId="0" fontId="0" fillId="2" borderId="48" xfId="0" applyFill="1" applyBorder="1"/>
    <xf numFmtId="0" fontId="0" fillId="4" borderId="0" xfId="0" applyFill="1"/>
    <xf numFmtId="0" fontId="8" fillId="4" borderId="19" xfId="0" applyFont="1" applyFill="1" applyBorder="1"/>
    <xf numFmtId="0" fontId="8" fillId="4" borderId="19" xfId="0" applyFont="1" applyFill="1" applyBorder="1" applyAlignment="1">
      <alignment wrapText="1"/>
    </xf>
    <xf numFmtId="0" fontId="0" fillId="4" borderId="49" xfId="0" applyFill="1" applyBorder="1"/>
    <xf numFmtId="0" fontId="0" fillId="4" borderId="50" xfId="0" applyFill="1" applyBorder="1"/>
    <xf numFmtId="0" fontId="8" fillId="4" borderId="52" xfId="0" applyFont="1" applyFill="1" applyBorder="1"/>
    <xf numFmtId="0" fontId="0" fillId="4" borderId="53" xfId="0" applyFill="1" applyBorder="1"/>
    <xf numFmtId="0" fontId="0" fillId="4" borderId="52" xfId="0" applyFill="1" applyBorder="1"/>
    <xf numFmtId="0" fontId="0" fillId="4" borderId="55" xfId="0" applyFill="1" applyBorder="1"/>
    <xf numFmtId="0" fontId="8" fillId="4" borderId="56" xfId="0" applyFont="1" applyFill="1" applyBorder="1"/>
    <xf numFmtId="0" fontId="0" fillId="4" borderId="19" xfId="0" applyFill="1" applyBorder="1"/>
    <xf numFmtId="0" fontId="8" fillId="4" borderId="19" xfId="0" applyFont="1" applyFill="1" applyBorder="1" applyAlignment="1">
      <alignment horizontal="center" vertical="center"/>
    </xf>
    <xf numFmtId="0" fontId="8" fillId="2" borderId="24" xfId="0" applyFont="1" applyFill="1" applyBorder="1" applyAlignment="1">
      <alignment horizontal="center"/>
    </xf>
    <xf numFmtId="0" fontId="0" fillId="0" borderId="31" xfId="0" applyBorder="1"/>
    <xf numFmtId="0" fontId="20" fillId="4" borderId="31" xfId="0" applyFont="1" applyFill="1" applyBorder="1" applyAlignment="1">
      <alignment horizontal="left"/>
    </xf>
    <xf numFmtId="0" fontId="0" fillId="4" borderId="12" xfId="0" applyFill="1" applyBorder="1"/>
    <xf numFmtId="0" fontId="16" fillId="4" borderId="31" xfId="0" quotePrefix="1" applyFont="1" applyFill="1" applyBorder="1" applyAlignment="1"/>
    <xf numFmtId="0" fontId="9" fillId="4" borderId="12" xfId="0" applyFont="1" applyFill="1" applyBorder="1" applyAlignment="1">
      <alignment horizontal="left"/>
    </xf>
    <xf numFmtId="0" fontId="15" fillId="4" borderId="12" xfId="0" quotePrefix="1" applyFont="1" applyFill="1" applyBorder="1" applyAlignment="1"/>
    <xf numFmtId="0" fontId="2" fillId="4" borderId="12" xfId="0" quotePrefix="1" applyFont="1" applyFill="1" applyBorder="1" applyAlignment="1"/>
    <xf numFmtId="0" fontId="15" fillId="4" borderId="12" xfId="0" applyFont="1" applyFill="1" applyBorder="1" applyAlignment="1"/>
    <xf numFmtId="0" fontId="16" fillId="4" borderId="31" xfId="0" quotePrefix="1" applyFont="1" applyFill="1" applyBorder="1"/>
    <xf numFmtId="0" fontId="17" fillId="4" borderId="12" xfId="0" applyFont="1" applyFill="1" applyBorder="1" applyAlignment="1"/>
    <xf numFmtId="0" fontId="15" fillId="4" borderId="12" xfId="0" quotePrefix="1" applyFont="1" applyFill="1" applyBorder="1"/>
    <xf numFmtId="0" fontId="2" fillId="4" borderId="12" xfId="0" quotePrefix="1" applyFont="1" applyFill="1" applyBorder="1"/>
    <xf numFmtId="0" fontId="16" fillId="4" borderId="33" xfId="0" quotePrefix="1" applyFont="1" applyFill="1" applyBorder="1"/>
    <xf numFmtId="0" fontId="15" fillId="4" borderId="59" xfId="0" quotePrefix="1" applyFont="1" applyFill="1" applyBorder="1"/>
    <xf numFmtId="0" fontId="0" fillId="2" borderId="61" xfId="0" applyFill="1" applyBorder="1"/>
    <xf numFmtId="0" fontId="0" fillId="2" borderId="24" xfId="0" applyFill="1" applyBorder="1" applyAlignment="1">
      <alignment horizontal="center"/>
    </xf>
    <xf numFmtId="0" fontId="0" fillId="2" borderId="24" xfId="0" applyFill="1" applyBorder="1" applyAlignment="1"/>
    <xf numFmtId="0" fontId="0" fillId="2" borderId="16" xfId="0" applyFill="1" applyBorder="1" applyAlignment="1"/>
    <xf numFmtId="0" fontId="0" fillId="2" borderId="29" xfId="0" applyFill="1" applyBorder="1" applyAlignment="1">
      <alignment horizontal="left"/>
    </xf>
    <xf numFmtId="0" fontId="0" fillId="2" borderId="60" xfId="0" applyFill="1" applyBorder="1" applyAlignment="1"/>
    <xf numFmtId="0" fontId="3" fillId="0" borderId="63" xfId="0" applyFont="1" applyFill="1" applyBorder="1" applyAlignment="1"/>
    <xf numFmtId="0" fontId="0" fillId="2" borderId="29" xfId="0" applyFill="1" applyBorder="1" applyAlignment="1"/>
    <xf numFmtId="0" fontId="0" fillId="2" borderId="30" xfId="0" applyFill="1" applyBorder="1" applyAlignment="1"/>
    <xf numFmtId="0" fontId="4" fillId="0" borderId="21" xfId="0" applyFont="1" applyFill="1" applyBorder="1" applyAlignment="1"/>
    <xf numFmtId="0" fontId="3" fillId="0" borderId="19" xfId="0" applyFont="1" applyFill="1" applyBorder="1" applyAlignment="1"/>
    <xf numFmtId="0" fontId="0" fillId="2" borderId="48" xfId="0" applyFill="1" applyBorder="1" applyAlignment="1"/>
    <xf numFmtId="0" fontId="0" fillId="2" borderId="64" xfId="0" applyFill="1" applyBorder="1" applyAlignment="1"/>
    <xf numFmtId="0" fontId="4" fillId="0" borderId="65" xfId="0" applyFont="1" applyFill="1" applyBorder="1" applyAlignment="1"/>
    <xf numFmtId="0" fontId="8" fillId="2" borderId="29" xfId="0" applyFont="1" applyFill="1" applyBorder="1" applyAlignment="1">
      <alignment horizontal="left"/>
    </xf>
    <xf numFmtId="0" fontId="8" fillId="2" borderId="47" xfId="0" applyFont="1" applyFill="1" applyBorder="1"/>
    <xf numFmtId="0" fontId="8" fillId="2" borderId="60" xfId="0" applyFont="1" applyFill="1" applyBorder="1" applyAlignment="1"/>
    <xf numFmtId="0" fontId="8" fillId="2" borderId="48" xfId="0" applyFont="1" applyFill="1" applyBorder="1"/>
    <xf numFmtId="0" fontId="8" fillId="2" borderId="27" xfId="0" applyFont="1" applyFill="1" applyBorder="1" applyAlignment="1">
      <alignment horizontal="left"/>
    </xf>
    <xf numFmtId="0" fontId="0" fillId="0" borderId="11" xfId="0" applyFill="1" applyBorder="1" applyAlignment="1">
      <alignment horizontal="center"/>
    </xf>
    <xf numFmtId="0" fontId="4" fillId="5" borderId="0" xfId="0" applyFont="1" applyFill="1" applyBorder="1"/>
    <xf numFmtId="0" fontId="0" fillId="5" borderId="0" xfId="0" applyFill="1" applyBorder="1"/>
    <xf numFmtId="0" fontId="28" fillId="6" borderId="32" xfId="0" applyFont="1" applyFill="1" applyBorder="1"/>
    <xf numFmtId="0" fontId="29" fillId="6" borderId="7" xfId="0" applyFont="1" applyFill="1" applyBorder="1"/>
    <xf numFmtId="0" fontId="30" fillId="6" borderId="7" xfId="0" applyFont="1" applyFill="1" applyBorder="1"/>
    <xf numFmtId="0" fontId="30" fillId="6" borderId="14" xfId="0" applyFont="1" applyFill="1" applyBorder="1"/>
    <xf numFmtId="0" fontId="28" fillId="6" borderId="31" xfId="0" applyFont="1" applyFill="1" applyBorder="1"/>
    <xf numFmtId="0" fontId="29" fillId="6" borderId="0" xfId="0" applyFont="1" applyFill="1" applyBorder="1"/>
    <xf numFmtId="0" fontId="30" fillId="6" borderId="0" xfId="0" applyFont="1" applyFill="1" applyBorder="1"/>
    <xf numFmtId="0" fontId="30" fillId="6" borderId="12" xfId="0" applyFont="1" applyFill="1" applyBorder="1"/>
    <xf numFmtId="0" fontId="31" fillId="6" borderId="45" xfId="0" applyFont="1" applyFill="1" applyBorder="1" applyAlignment="1"/>
    <xf numFmtId="0" fontId="31" fillId="6" borderId="43" xfId="0" applyFont="1" applyFill="1" applyBorder="1" applyAlignment="1"/>
    <xf numFmtId="0" fontId="31" fillId="6" borderId="44" xfId="0" applyFont="1" applyFill="1" applyBorder="1" applyAlignment="1"/>
    <xf numFmtId="0" fontId="31" fillId="6" borderId="45" xfId="0" applyFont="1" applyFill="1" applyBorder="1"/>
    <xf numFmtId="0" fontId="31" fillId="6" borderId="43" xfId="0" applyFont="1" applyFill="1" applyBorder="1"/>
    <xf numFmtId="0" fontId="30" fillId="6" borderId="43" xfId="0" applyFont="1" applyFill="1" applyBorder="1"/>
    <xf numFmtId="0" fontId="31" fillId="6" borderId="46" xfId="0" applyFont="1" applyFill="1" applyBorder="1"/>
    <xf numFmtId="0" fontId="28" fillId="6" borderId="18" xfId="0" applyFont="1" applyFill="1" applyBorder="1"/>
    <xf numFmtId="0" fontId="31" fillId="6" borderId="45" xfId="0" applyFont="1" applyFill="1" applyBorder="1" applyAlignment="1">
      <alignment horizontal="left"/>
    </xf>
    <xf numFmtId="0" fontId="32" fillId="6" borderId="62" xfId="0" applyFont="1" applyFill="1" applyBorder="1" applyAlignment="1">
      <alignment horizontal="center"/>
    </xf>
    <xf numFmtId="0" fontId="31" fillId="6" borderId="43" xfId="0" applyFont="1" applyFill="1" applyBorder="1" applyAlignment="1">
      <alignment horizontal="left"/>
    </xf>
    <xf numFmtId="0" fontId="31" fillId="6" borderId="44" xfId="0" applyFont="1" applyFill="1" applyBorder="1" applyAlignment="1">
      <alignment horizontal="left"/>
    </xf>
    <xf numFmtId="0" fontId="33" fillId="0" borderId="19" xfId="0" applyFont="1" applyBorder="1"/>
    <xf numFmtId="0" fontId="36" fillId="4" borderId="8" xfId="0" applyFont="1" applyFill="1" applyBorder="1" applyAlignment="1">
      <alignment horizontal="center"/>
    </xf>
    <xf numFmtId="0" fontId="37" fillId="4" borderId="36" xfId="0" applyFont="1" applyFill="1" applyBorder="1" applyAlignment="1">
      <alignment horizontal="center"/>
    </xf>
    <xf numFmtId="0" fontId="36" fillId="4" borderId="11" xfId="0" applyFont="1" applyFill="1" applyBorder="1" applyAlignment="1">
      <alignment horizontal="center"/>
    </xf>
    <xf numFmtId="0" fontId="36" fillId="4" borderId="10" xfId="0" applyFont="1" applyFill="1" applyBorder="1" applyAlignment="1">
      <alignment horizontal="center"/>
    </xf>
    <xf numFmtId="0" fontId="4" fillId="4" borderId="21" xfId="0" applyFont="1" applyFill="1" applyBorder="1" applyAlignment="1">
      <alignment horizontal="left"/>
    </xf>
    <xf numFmtId="0" fontId="33" fillId="4" borderId="19" xfId="0" applyFont="1" applyFill="1" applyBorder="1" applyAlignment="1">
      <alignment wrapText="1"/>
    </xf>
    <xf numFmtId="0" fontId="34" fillId="0" borderId="8" xfId="0" applyFont="1" applyFill="1" applyBorder="1" applyAlignment="1">
      <alignment horizontal="left"/>
    </xf>
    <xf numFmtId="0" fontId="38" fillId="0" borderId="8" xfId="0" applyFont="1" applyBorder="1" applyAlignment="1"/>
    <xf numFmtId="0" fontId="36" fillId="0" borderId="11" xfId="0" applyFont="1" applyFill="1" applyBorder="1" applyAlignment="1">
      <alignment horizontal="left"/>
    </xf>
    <xf numFmtId="0" fontId="38" fillId="6" borderId="38" xfId="0" applyFont="1" applyFill="1" applyBorder="1"/>
    <xf numFmtId="0" fontId="37" fillId="0" borderId="4" xfId="0" applyFont="1" applyFill="1" applyBorder="1" applyAlignment="1">
      <alignment horizontal="center"/>
    </xf>
    <xf numFmtId="0" fontId="37" fillId="0" borderId="11" xfId="0" applyFont="1" applyFill="1" applyBorder="1" applyAlignment="1">
      <alignment horizontal="center"/>
    </xf>
    <xf numFmtId="0" fontId="36" fillId="0" borderId="41" xfId="0" applyFont="1" applyBorder="1" applyAlignment="1">
      <alignment horizontal="center"/>
    </xf>
    <xf numFmtId="0" fontId="37" fillId="0" borderId="1" xfId="0" applyFont="1" applyFill="1" applyBorder="1" applyAlignment="1">
      <alignment horizontal="center"/>
    </xf>
    <xf numFmtId="0" fontId="37" fillId="0" borderId="5" xfId="0" applyFont="1" applyFill="1" applyBorder="1" applyAlignment="1">
      <alignment horizontal="center"/>
    </xf>
    <xf numFmtId="0" fontId="39" fillId="6" borderId="9" xfId="0" applyFont="1" applyFill="1" applyBorder="1" applyAlignment="1">
      <alignment horizontal="left"/>
    </xf>
    <xf numFmtId="0" fontId="39" fillId="6" borderId="7" xfId="0" applyFont="1" applyFill="1" applyBorder="1" applyAlignment="1">
      <alignment horizontal="center"/>
    </xf>
    <xf numFmtId="0" fontId="40" fillId="6" borderId="6" xfId="0" applyFont="1" applyFill="1" applyBorder="1" applyAlignment="1">
      <alignment horizontal="center"/>
    </xf>
    <xf numFmtId="0" fontId="39" fillId="6" borderId="7" xfId="0" applyFont="1" applyFill="1" applyBorder="1" applyAlignment="1">
      <alignment horizontal="left"/>
    </xf>
    <xf numFmtId="0" fontId="33" fillId="4" borderId="96" xfId="0" applyFont="1" applyFill="1" applyBorder="1" applyAlignment="1">
      <alignment horizontal="left"/>
    </xf>
    <xf numFmtId="0" fontId="8" fillId="2" borderId="30" xfId="0" applyFont="1" applyFill="1" applyBorder="1" applyAlignment="1">
      <alignment horizontal="left"/>
    </xf>
    <xf numFmtId="0" fontId="29" fillId="6" borderId="14" xfId="0" applyFont="1" applyFill="1" applyBorder="1"/>
    <xf numFmtId="0" fontId="29" fillId="6" borderId="12" xfId="0" applyFont="1" applyFill="1" applyBorder="1"/>
    <xf numFmtId="0" fontId="4" fillId="0" borderId="2" xfId="0" applyFont="1" applyFill="1" applyBorder="1" applyAlignment="1">
      <alignment horizontal="left"/>
    </xf>
    <xf numFmtId="0" fontId="12" fillId="2" borderId="60" xfId="0" applyFont="1" applyFill="1" applyBorder="1" applyAlignment="1">
      <alignment horizontal="left" vertical="center"/>
    </xf>
    <xf numFmtId="0" fontId="12" fillId="2" borderId="72" xfId="0" applyFont="1" applyFill="1" applyBorder="1" applyAlignment="1">
      <alignment horizontal="left" vertical="center"/>
    </xf>
    <xf numFmtId="0" fontId="4" fillId="0" borderId="74" xfId="0" applyFont="1" applyFill="1" applyBorder="1" applyAlignment="1">
      <alignment horizontal="left"/>
    </xf>
    <xf numFmtId="0" fontId="12" fillId="2" borderId="72" xfId="0" applyFont="1" applyFill="1" applyBorder="1" applyAlignment="1">
      <alignment horizontal="left" vertical="center"/>
    </xf>
    <xf numFmtId="0" fontId="12" fillId="2" borderId="25" xfId="0" applyFont="1" applyFill="1" applyBorder="1" applyAlignment="1">
      <alignment horizontal="left" vertical="center"/>
    </xf>
    <xf numFmtId="0" fontId="12" fillId="2" borderId="28" xfId="0" applyFont="1" applyFill="1" applyBorder="1" applyAlignment="1">
      <alignment horizontal="left" vertical="center"/>
    </xf>
    <xf numFmtId="0" fontId="12" fillId="2" borderId="60" xfId="0" applyFont="1" applyFill="1" applyBorder="1" applyAlignment="1">
      <alignment horizontal="left" vertical="center"/>
    </xf>
    <xf numFmtId="0" fontId="13" fillId="2" borderId="24" xfId="0" applyFont="1" applyFill="1" applyBorder="1" applyAlignment="1">
      <alignment horizontal="left" vertical="center"/>
    </xf>
    <xf numFmtId="0" fontId="13" fillId="2" borderId="16" xfId="0" applyFont="1" applyFill="1" applyBorder="1" applyAlignment="1">
      <alignment horizontal="left" vertical="center"/>
    </xf>
    <xf numFmtId="0" fontId="8" fillId="4" borderId="0" xfId="0" applyFont="1" applyFill="1" applyBorder="1" applyAlignment="1">
      <alignment horizontal="left"/>
    </xf>
    <xf numFmtId="0" fontId="0" fillId="4" borderId="0" xfId="0" applyFill="1" applyBorder="1" applyAlignment="1"/>
    <xf numFmtId="0" fontId="0" fillId="4" borderId="0" xfId="0" applyFill="1" applyBorder="1" applyAlignment="1">
      <alignment horizontal="center"/>
    </xf>
    <xf numFmtId="164" fontId="23" fillId="4" borderId="0" xfId="2" applyNumberFormat="1" applyFont="1" applyFill="1" applyBorder="1" applyAlignment="1">
      <alignment horizontal="center"/>
    </xf>
    <xf numFmtId="165" fontId="0" fillId="4" borderId="0" xfId="2" applyFont="1" applyFill="1" applyBorder="1" applyAlignment="1"/>
    <xf numFmtId="0" fontId="41" fillId="0" borderId="8" xfId="0" applyFont="1" applyFill="1" applyBorder="1" applyAlignment="1">
      <alignment horizontal="left"/>
    </xf>
    <xf numFmtId="0" fontId="41" fillId="0" borderId="37" xfId="0" applyFont="1" applyFill="1" applyBorder="1" applyAlignment="1">
      <alignment horizontal="left"/>
    </xf>
    <xf numFmtId="0" fontId="0" fillId="0" borderId="0" xfId="0" applyBorder="1" applyAlignment="1"/>
    <xf numFmtId="0" fontId="31" fillId="4" borderId="0" xfId="0" applyFont="1" applyFill="1" applyBorder="1"/>
    <xf numFmtId="0" fontId="28" fillId="4" borderId="0" xfId="0" applyFont="1" applyFill="1" applyBorder="1"/>
    <xf numFmtId="0" fontId="30" fillId="4" borderId="0" xfId="0" applyFont="1" applyFill="1" applyBorder="1"/>
    <xf numFmtId="0" fontId="42" fillId="0" borderId="37" xfId="0" applyFont="1" applyFill="1" applyBorder="1" applyAlignment="1">
      <alignment horizontal="left"/>
    </xf>
    <xf numFmtId="0" fontId="42" fillId="0" borderId="8" xfId="0" applyFont="1" applyFill="1" applyBorder="1" applyAlignment="1">
      <alignment horizontal="left"/>
    </xf>
    <xf numFmtId="0" fontId="16" fillId="4" borderId="31" xfId="0" applyFont="1" applyFill="1" applyBorder="1"/>
    <xf numFmtId="168" fontId="18" fillId="2" borderId="0" xfId="2" applyNumberFormat="1" applyFont="1" applyFill="1" applyBorder="1" applyAlignment="1"/>
    <xf numFmtId="168" fontId="18" fillId="2" borderId="24" xfId="2" applyNumberFormat="1" applyFont="1" applyFill="1" applyBorder="1" applyAlignment="1"/>
    <xf numFmtId="168" fontId="0" fillId="0" borderId="2" xfId="0" applyNumberFormat="1" applyFill="1" applyBorder="1" applyAlignment="1"/>
    <xf numFmtId="169" fontId="0" fillId="0" borderId="42" xfId="0" applyNumberFormat="1" applyBorder="1"/>
    <xf numFmtId="169" fontId="0" fillId="0" borderId="39" xfId="0" applyNumberFormat="1" applyBorder="1"/>
    <xf numFmtId="170" fontId="0" fillId="2" borderId="26" xfId="0" applyNumberFormat="1" applyFill="1" applyBorder="1" applyAlignment="1">
      <alignment horizontal="center"/>
    </xf>
    <xf numFmtId="170" fontId="33" fillId="4" borderId="86" xfId="0" applyNumberFormat="1" applyFont="1" applyFill="1" applyBorder="1" applyAlignment="1">
      <alignment horizontal="center"/>
    </xf>
    <xf numFmtId="170" fontId="0" fillId="2" borderId="24" xfId="0" applyNumberFormat="1" applyFill="1" applyBorder="1" applyAlignment="1">
      <alignment horizontal="center"/>
    </xf>
    <xf numFmtId="170" fontId="4" fillId="4" borderId="2" xfId="0" applyNumberFormat="1" applyFont="1" applyFill="1" applyBorder="1" applyAlignment="1">
      <alignment horizontal="center"/>
    </xf>
    <xf numFmtId="170" fontId="0" fillId="2" borderId="25" xfId="0" applyNumberFormat="1" applyFill="1" applyBorder="1" applyAlignment="1"/>
    <xf numFmtId="170" fontId="8" fillId="2" borderId="29" xfId="0" applyNumberFormat="1" applyFont="1" applyFill="1" applyBorder="1" applyAlignment="1"/>
    <xf numFmtId="170" fontId="0" fillId="2" borderId="24" xfId="0" applyNumberFormat="1" applyFill="1" applyBorder="1" applyAlignment="1"/>
    <xf numFmtId="170" fontId="36" fillId="0" borderId="11" xfId="0" applyNumberFormat="1" applyFont="1" applyFill="1" applyBorder="1" applyAlignment="1">
      <alignment horizontal="left"/>
    </xf>
    <xf numFmtId="170" fontId="0" fillId="0" borderId="11" xfId="0" applyNumberFormat="1" applyFill="1" applyBorder="1" applyAlignment="1"/>
    <xf numFmtId="170" fontId="0" fillId="0" borderId="11" xfId="0" applyNumberFormat="1" applyFill="1" applyBorder="1" applyAlignment="1">
      <alignment horizontal="center"/>
    </xf>
    <xf numFmtId="170" fontId="7" fillId="0" borderId="10" xfId="0" applyNumberFormat="1" applyFont="1" applyFill="1" applyBorder="1" applyAlignment="1">
      <alignment horizontal="center"/>
    </xf>
    <xf numFmtId="170" fontId="0" fillId="2" borderId="30" xfId="0" applyNumberFormat="1" applyFill="1" applyBorder="1" applyAlignment="1"/>
    <xf numFmtId="170" fontId="0" fillId="2" borderId="26" xfId="0" applyNumberFormat="1" applyFill="1" applyBorder="1" applyAlignment="1"/>
    <xf numFmtId="167" fontId="5" fillId="0" borderId="0" xfId="2" applyNumberFormat="1" applyFont="1" applyFill="1" applyBorder="1" applyAlignment="1"/>
    <xf numFmtId="170" fontId="3" fillId="0" borderId="11" xfId="0" applyNumberFormat="1" applyFont="1" applyFill="1" applyBorder="1" applyAlignment="1">
      <alignment horizontal="left"/>
    </xf>
    <xf numFmtId="170" fontId="12" fillId="2" borderId="25" xfId="0" applyNumberFormat="1" applyFont="1" applyFill="1" applyBorder="1" applyAlignment="1">
      <alignment horizontal="left" vertical="center"/>
    </xf>
    <xf numFmtId="170" fontId="12" fillId="2" borderId="28" xfId="0" applyNumberFormat="1" applyFont="1" applyFill="1" applyBorder="1" applyAlignment="1">
      <alignment horizontal="left" vertical="center"/>
    </xf>
    <xf numFmtId="170" fontId="13" fillId="2" borderId="24" xfId="0" applyNumberFormat="1" applyFont="1" applyFill="1" applyBorder="1" applyAlignment="1">
      <alignment horizontal="left" vertical="center"/>
    </xf>
    <xf numFmtId="170" fontId="13" fillId="2" borderId="16" xfId="0" applyNumberFormat="1" applyFont="1" applyFill="1" applyBorder="1" applyAlignment="1">
      <alignment horizontal="left" vertical="center"/>
    </xf>
    <xf numFmtId="170" fontId="4" fillId="0" borderId="2" xfId="0" applyNumberFormat="1" applyFont="1" applyFill="1" applyBorder="1" applyAlignment="1">
      <alignment horizontal="left"/>
    </xf>
    <xf numFmtId="170" fontId="0" fillId="0" borderId="2" xfId="0" applyNumberFormat="1" applyBorder="1" applyAlignment="1"/>
    <xf numFmtId="0" fontId="1" fillId="2" borderId="60" xfId="0" applyFont="1" applyFill="1" applyBorder="1" applyAlignment="1"/>
    <xf numFmtId="0" fontId="1" fillId="2" borderId="48" xfId="0" applyFont="1" applyFill="1" applyBorder="1"/>
    <xf numFmtId="170" fontId="1" fillId="2" borderId="27" xfId="0" applyNumberFormat="1" applyFont="1" applyFill="1" applyBorder="1" applyAlignment="1">
      <alignment horizontal="left"/>
    </xf>
    <xf numFmtId="0" fontId="12" fillId="2" borderId="72" xfId="0" applyFont="1" applyFill="1" applyBorder="1" applyAlignment="1">
      <alignment horizontal="left" vertical="center"/>
    </xf>
    <xf numFmtId="0" fontId="12" fillId="2" borderId="25" xfId="0" applyFont="1" applyFill="1" applyBorder="1" applyAlignment="1">
      <alignment horizontal="left" vertical="center"/>
    </xf>
    <xf numFmtId="0" fontId="12" fillId="2" borderId="28" xfId="0" applyFont="1" applyFill="1" applyBorder="1" applyAlignment="1">
      <alignment horizontal="left" vertical="center"/>
    </xf>
    <xf numFmtId="0" fontId="12" fillId="2" borderId="60" xfId="0" applyFont="1" applyFill="1" applyBorder="1" applyAlignment="1">
      <alignment horizontal="left" vertical="center"/>
    </xf>
    <xf numFmtId="0" fontId="13" fillId="2" borderId="24" xfId="0" applyFont="1" applyFill="1" applyBorder="1" applyAlignment="1">
      <alignment horizontal="left" vertical="center"/>
    </xf>
    <xf numFmtId="0" fontId="13" fillId="2" borderId="16" xfId="0" applyFont="1" applyFill="1" applyBorder="1" applyAlignment="1">
      <alignment horizontal="left" vertical="center"/>
    </xf>
    <xf numFmtId="170" fontId="4" fillId="0" borderId="2" xfId="0" applyNumberFormat="1" applyFont="1" applyFill="1" applyBorder="1" applyAlignment="1">
      <alignment horizontal="left"/>
    </xf>
    <xf numFmtId="170" fontId="0" fillId="0" borderId="2" xfId="0" applyNumberFormat="1" applyBorder="1" applyAlignment="1"/>
    <xf numFmtId="0" fontId="0" fillId="2" borderId="60" xfId="0" applyFill="1" applyBorder="1" applyAlignment="1"/>
    <xf numFmtId="0" fontId="0" fillId="2" borderId="24" xfId="0" applyFill="1" applyBorder="1" applyAlignment="1"/>
    <xf numFmtId="0" fontId="0" fillId="2" borderId="16" xfId="0" applyFill="1" applyBorder="1" applyAlignment="1"/>
    <xf numFmtId="0" fontId="0" fillId="2" borderId="24" xfId="0" applyFill="1" applyBorder="1" applyAlignment="1">
      <alignment horizontal="center"/>
    </xf>
    <xf numFmtId="0" fontId="8" fillId="2" borderId="29" xfId="0" applyFont="1" applyFill="1" applyBorder="1" applyAlignment="1">
      <alignment horizontal="left"/>
    </xf>
    <xf numFmtId="0" fontId="0" fillId="2" borderId="29" xfId="0" applyFill="1" applyBorder="1" applyAlignment="1">
      <alignment horizontal="left"/>
    </xf>
    <xf numFmtId="0" fontId="4" fillId="0" borderId="74" xfId="0" applyFont="1" applyFill="1" applyBorder="1" applyAlignment="1">
      <alignment horizontal="left"/>
    </xf>
    <xf numFmtId="0" fontId="4" fillId="0" borderId="2" xfId="0" applyFont="1" applyFill="1" applyBorder="1" applyAlignment="1">
      <alignment horizontal="left"/>
    </xf>
    <xf numFmtId="0" fontId="4" fillId="0" borderId="13" xfId="0" applyFont="1" applyFill="1" applyBorder="1" applyAlignment="1">
      <alignment horizontal="left"/>
    </xf>
    <xf numFmtId="0" fontId="31" fillId="7" borderId="45" xfId="0" applyFont="1" applyFill="1" applyBorder="1" applyAlignment="1"/>
    <xf numFmtId="0" fontId="31" fillId="7" borderId="43" xfId="0" applyFont="1" applyFill="1" applyBorder="1" applyAlignment="1"/>
    <xf numFmtId="0" fontId="31" fillId="7" borderId="44" xfId="0" applyFont="1" applyFill="1" applyBorder="1" applyAlignment="1"/>
    <xf numFmtId="0" fontId="36" fillId="0" borderId="0" xfId="0" applyFont="1" applyFill="1" applyBorder="1" applyAlignment="1">
      <alignment horizontal="center" wrapText="1"/>
    </xf>
    <xf numFmtId="0" fontId="36" fillId="0" borderId="0" xfId="0" applyFont="1" applyFill="1" applyBorder="1" applyAlignment="1">
      <alignment horizontal="center" vertical="center"/>
    </xf>
    <xf numFmtId="0" fontId="36" fillId="0" borderId="0" xfId="0" applyFont="1" applyFill="1" applyBorder="1" applyAlignment="1">
      <alignment horizontal="center" vertical="center" wrapText="1"/>
    </xf>
    <xf numFmtId="169" fontId="5" fillId="0" borderId="40" xfId="2" applyNumberFormat="1" applyFont="1" applyFill="1" applyBorder="1"/>
    <xf numFmtId="170" fontId="5" fillId="0" borderId="92" xfId="2" applyNumberFormat="1" applyFont="1" applyFill="1" applyBorder="1" applyAlignment="1"/>
    <xf numFmtId="3" fontId="0" fillId="2" borderId="25" xfId="0" applyNumberFormat="1" applyFill="1" applyBorder="1" applyAlignment="1">
      <alignment horizontal="center"/>
    </xf>
    <xf numFmtId="3" fontId="0" fillId="2" borderId="26" xfId="0" applyNumberFormat="1" applyFill="1" applyBorder="1" applyAlignment="1">
      <alignment horizontal="center"/>
    </xf>
    <xf numFmtId="0" fontId="34" fillId="0" borderId="37" xfId="0" applyFont="1" applyFill="1" applyBorder="1" applyAlignment="1">
      <alignment horizontal="left"/>
    </xf>
    <xf numFmtId="169" fontId="0" fillId="0" borderId="4" xfId="2" applyNumberFormat="1" applyFont="1" applyFill="1" applyBorder="1" applyAlignment="1"/>
    <xf numFmtId="169" fontId="0" fillId="0" borderId="16" xfId="2" applyNumberFormat="1" applyFont="1" applyFill="1" applyBorder="1" applyAlignment="1"/>
    <xf numFmtId="169" fontId="5" fillId="0" borderId="13" xfId="2" applyNumberFormat="1" applyFont="1" applyFill="1" applyBorder="1" applyAlignment="1"/>
    <xf numFmtId="169" fontId="0" fillId="2" borderId="28" xfId="0" applyNumberFormat="1" applyFill="1" applyBorder="1" applyAlignment="1">
      <alignment horizontal="center"/>
    </xf>
    <xf numFmtId="169" fontId="0" fillId="0" borderId="12" xfId="2" applyNumberFormat="1" applyFont="1" applyFill="1" applyBorder="1" applyAlignment="1"/>
    <xf numFmtId="169" fontId="8" fillId="2" borderId="16" xfId="2" applyNumberFormat="1" applyFont="1" applyFill="1" applyBorder="1" applyAlignment="1">
      <alignment horizontal="right"/>
    </xf>
    <xf numFmtId="169" fontId="0" fillId="0" borderId="15" xfId="2" applyNumberFormat="1" applyFont="1" applyFill="1" applyBorder="1" applyAlignment="1"/>
    <xf numFmtId="169" fontId="0" fillId="0" borderId="11" xfId="0" applyNumberFormat="1" applyFill="1" applyBorder="1" applyAlignment="1">
      <alignment horizontal="center"/>
    </xf>
    <xf numFmtId="169" fontId="7" fillId="0" borderId="10" xfId="0" applyNumberFormat="1" applyFont="1" applyFill="1" applyBorder="1" applyAlignment="1">
      <alignment horizontal="center"/>
    </xf>
    <xf numFmtId="169" fontId="23" fillId="2" borderId="66" xfId="2" applyNumberFormat="1" applyFont="1" applyFill="1" applyBorder="1" applyAlignment="1">
      <alignment horizontal="center"/>
    </xf>
    <xf numFmtId="169" fontId="0" fillId="0" borderId="58" xfId="2" applyNumberFormat="1" applyFont="1" applyFill="1" applyBorder="1" applyAlignment="1"/>
    <xf numFmtId="169" fontId="0" fillId="0" borderId="13" xfId="0" applyNumberFormat="1" applyBorder="1" applyAlignment="1"/>
    <xf numFmtId="169" fontId="5" fillId="0" borderId="92" xfId="2" applyNumberFormat="1" applyFont="1" applyFill="1" applyBorder="1" applyAlignment="1"/>
    <xf numFmtId="169" fontId="18" fillId="2" borderId="25" xfId="2" applyNumberFormat="1" applyFont="1" applyFill="1" applyBorder="1" applyAlignment="1"/>
    <xf numFmtId="169" fontId="0" fillId="0" borderId="42" xfId="2" applyNumberFormat="1" applyFont="1" applyFill="1" applyBorder="1" applyAlignment="1"/>
    <xf numFmtId="169" fontId="18" fillId="2" borderId="26" xfId="2" applyNumberFormat="1" applyFont="1" applyFill="1" applyBorder="1" applyAlignment="1"/>
    <xf numFmtId="169" fontId="33" fillId="4" borderId="86" xfId="2" applyNumberFormat="1" applyFont="1" applyFill="1" applyBorder="1" applyAlignment="1"/>
    <xf numFmtId="169" fontId="33" fillId="4" borderId="97" xfId="2" applyNumberFormat="1" applyFont="1" applyFill="1" applyBorder="1" applyAlignment="1"/>
    <xf numFmtId="169" fontId="18" fillId="2" borderId="24" xfId="2" applyNumberFormat="1" applyFont="1" applyFill="1" applyBorder="1" applyAlignment="1"/>
    <xf numFmtId="169" fontId="0" fillId="0" borderId="39" xfId="2" applyNumberFormat="1" applyFont="1" applyFill="1" applyBorder="1" applyAlignment="1"/>
    <xf numFmtId="169" fontId="4" fillId="4" borderId="2" xfId="0" applyNumberFormat="1" applyFont="1" applyFill="1" applyBorder="1" applyAlignment="1"/>
    <xf numFmtId="169" fontId="0" fillId="0" borderId="0" xfId="0" applyNumberFormat="1"/>
    <xf numFmtId="169" fontId="4" fillId="0" borderId="34" xfId="2" applyNumberFormat="1" applyFont="1" applyFill="1" applyBorder="1" applyAlignment="1"/>
    <xf numFmtId="0" fontId="44" fillId="2" borderId="22" xfId="0" applyFont="1" applyFill="1" applyBorder="1" applyAlignment="1">
      <alignment horizontal="left"/>
    </xf>
    <xf numFmtId="0" fontId="44" fillId="2" borderId="23" xfId="0" applyFont="1" applyFill="1" applyBorder="1" applyAlignment="1">
      <alignment horizontal="left"/>
    </xf>
    <xf numFmtId="14" fontId="44" fillId="2" borderId="4" xfId="0" applyNumberFormat="1" applyFont="1" applyFill="1" applyBorder="1" applyAlignment="1">
      <alignment horizontal="left"/>
    </xf>
    <xf numFmtId="14" fontId="44" fillId="2" borderId="16" xfId="0" applyNumberFormat="1" applyFont="1" applyFill="1" applyBorder="1" applyAlignment="1">
      <alignment horizontal="left"/>
    </xf>
    <xf numFmtId="2" fontId="4" fillId="2" borderId="27" xfId="0" applyNumberFormat="1" applyFont="1" applyFill="1" applyBorder="1" applyAlignment="1"/>
    <xf numFmtId="0" fontId="4" fillId="2" borderId="47" xfId="0" applyFont="1" applyFill="1" applyBorder="1" applyAlignment="1"/>
    <xf numFmtId="2" fontId="4" fillId="2" borderId="29" xfId="0" applyNumberFormat="1" applyFont="1" applyFill="1" applyBorder="1" applyAlignment="1"/>
    <xf numFmtId="0" fontId="4" fillId="2" borderId="48" xfId="0" applyFont="1" applyFill="1" applyBorder="1" applyAlignment="1"/>
    <xf numFmtId="0" fontId="4" fillId="2" borderId="29" xfId="0" applyFont="1" applyFill="1" applyBorder="1" applyAlignment="1"/>
    <xf numFmtId="0" fontId="4" fillId="2" borderId="24" xfId="0" applyFont="1" applyFill="1" applyBorder="1" applyAlignment="1">
      <alignment horizontal="center"/>
    </xf>
    <xf numFmtId="1" fontId="4" fillId="2" borderId="0" xfId="0" applyNumberFormat="1" applyFont="1" applyFill="1" applyBorder="1" applyAlignment="1">
      <alignment horizontal="center"/>
    </xf>
    <xf numFmtId="170" fontId="4" fillId="0" borderId="2" xfId="0" applyNumberFormat="1" applyFont="1" applyFill="1" applyBorder="1" applyAlignment="1">
      <alignment horizontal="left"/>
    </xf>
    <xf numFmtId="170" fontId="0" fillId="0" borderId="2" xfId="0" applyNumberFormat="1" applyBorder="1" applyAlignment="1"/>
    <xf numFmtId="0" fontId="0" fillId="2" borderId="60" xfId="0" applyFill="1" applyBorder="1" applyAlignment="1"/>
    <xf numFmtId="0" fontId="0" fillId="2" borderId="24" xfId="0" applyFill="1" applyBorder="1" applyAlignment="1"/>
    <xf numFmtId="0" fontId="0" fillId="2" borderId="16" xfId="0" applyFill="1" applyBorder="1" applyAlignment="1"/>
    <xf numFmtId="0" fontId="12" fillId="2" borderId="72" xfId="0" applyFont="1" applyFill="1" applyBorder="1" applyAlignment="1">
      <alignment horizontal="left" vertical="center"/>
    </xf>
    <xf numFmtId="0" fontId="12" fillId="2" borderId="25" xfId="0" applyFont="1" applyFill="1" applyBorder="1" applyAlignment="1">
      <alignment horizontal="left" vertical="center"/>
    </xf>
    <xf numFmtId="0" fontId="12" fillId="2" borderId="28" xfId="0" applyFont="1" applyFill="1" applyBorder="1" applyAlignment="1">
      <alignment horizontal="left" vertical="center"/>
    </xf>
    <xf numFmtId="0" fontId="12" fillId="2" borderId="60" xfId="0" applyFont="1" applyFill="1" applyBorder="1" applyAlignment="1">
      <alignment horizontal="left" vertical="center"/>
    </xf>
    <xf numFmtId="0" fontId="2" fillId="0" borderId="0" xfId="0" applyFont="1" applyBorder="1" applyAlignment="1"/>
    <xf numFmtId="0" fontId="2" fillId="4" borderId="12" xfId="0" applyFont="1" applyFill="1" applyBorder="1" applyAlignment="1"/>
    <xf numFmtId="0" fontId="2" fillId="4" borderId="59" xfId="0" quotePrefix="1" applyFont="1" applyFill="1" applyBorder="1"/>
    <xf numFmtId="0" fontId="4" fillId="0" borderId="3" xfId="0" applyFont="1" applyBorder="1"/>
    <xf numFmtId="168" fontId="1" fillId="2" borderId="0" xfId="2" applyNumberFormat="1" applyFont="1" applyFill="1" applyBorder="1" applyAlignment="1"/>
    <xf numFmtId="168" fontId="1" fillId="2" borderId="24" xfId="2" applyNumberFormat="1" applyFont="1" applyFill="1" applyBorder="1" applyAlignment="1"/>
    <xf numFmtId="0" fontId="1" fillId="2" borderId="24" xfId="0" applyFont="1" applyFill="1" applyBorder="1" applyAlignment="1">
      <alignment horizontal="center"/>
    </xf>
    <xf numFmtId="0" fontId="4" fillId="0" borderId="2" xfId="0" applyFont="1" applyFill="1" applyBorder="1" applyAlignment="1">
      <alignment horizontal="center"/>
    </xf>
    <xf numFmtId="169" fontId="4" fillId="0" borderId="13" xfId="2" applyNumberFormat="1" applyFont="1" applyFill="1" applyBorder="1" applyAlignment="1"/>
    <xf numFmtId="169" fontId="4" fillId="0" borderId="40" xfId="2" applyNumberFormat="1" applyFont="1" applyFill="1" applyBorder="1"/>
    <xf numFmtId="0" fontId="4" fillId="0" borderId="8" xfId="0" applyFont="1" applyFill="1" applyBorder="1" applyAlignment="1">
      <alignment horizontal="center"/>
    </xf>
    <xf numFmtId="167" fontId="4" fillId="0" borderId="8" xfId="2" applyNumberFormat="1" applyFont="1" applyFill="1" applyBorder="1" applyAlignment="1"/>
    <xf numFmtId="0" fontId="4" fillId="0" borderId="8" xfId="0" applyFont="1" applyFill="1" applyBorder="1" applyAlignment="1"/>
    <xf numFmtId="167" fontId="4" fillId="0" borderId="0" xfId="2" applyNumberFormat="1" applyFont="1" applyBorder="1"/>
    <xf numFmtId="0" fontId="4" fillId="0" borderId="0" xfId="0" applyFont="1" applyFill="1" applyBorder="1" applyAlignment="1">
      <alignment horizontal="center"/>
    </xf>
    <xf numFmtId="0" fontId="1" fillId="2" borderId="27" xfId="0" applyFont="1" applyFill="1" applyBorder="1" applyAlignment="1">
      <alignment horizontal="left"/>
    </xf>
    <xf numFmtId="169" fontId="1" fillId="2" borderId="25" xfId="2" applyNumberFormat="1" applyFont="1" applyFill="1" applyBorder="1" applyAlignment="1"/>
    <xf numFmtId="0" fontId="1" fillId="2" borderId="30" xfId="0" applyFont="1" applyFill="1" applyBorder="1" applyAlignment="1">
      <alignment horizontal="left"/>
    </xf>
    <xf numFmtId="169" fontId="1" fillId="2" borderId="26" xfId="2" applyNumberFormat="1" applyFont="1" applyFill="1" applyBorder="1" applyAlignment="1"/>
    <xf numFmtId="170" fontId="1" fillId="2" borderId="29" xfId="0" applyNumberFormat="1" applyFont="1" applyFill="1" applyBorder="1" applyAlignment="1"/>
    <xf numFmtId="169" fontId="1" fillId="2" borderId="16" xfId="2" applyNumberFormat="1" applyFont="1" applyFill="1" applyBorder="1" applyAlignment="1">
      <alignment horizontal="right"/>
    </xf>
    <xf numFmtId="0" fontId="1" fillId="2" borderId="29" xfId="0" applyFont="1" applyFill="1" applyBorder="1" applyAlignment="1">
      <alignment horizontal="left"/>
    </xf>
    <xf numFmtId="169" fontId="1" fillId="2" borderId="24" xfId="2" applyNumberFormat="1" applyFont="1" applyFill="1" applyBorder="1" applyAlignment="1"/>
    <xf numFmtId="0" fontId="12" fillId="2" borderId="24" xfId="0" applyFont="1" applyFill="1" applyBorder="1" applyAlignment="1">
      <alignment horizontal="left" vertical="center"/>
    </xf>
    <xf numFmtId="0" fontId="12" fillId="2" borderId="16" xfId="0" applyFont="1" applyFill="1" applyBorder="1" applyAlignment="1">
      <alignment horizontal="left" vertical="center"/>
    </xf>
    <xf numFmtId="169" fontId="1" fillId="2" borderId="66" xfId="2" applyNumberFormat="1" applyFont="1" applyFill="1" applyBorder="1" applyAlignment="1">
      <alignment horizontal="center"/>
    </xf>
    <xf numFmtId="170" fontId="4" fillId="0" borderId="92" xfId="2" applyNumberFormat="1" applyFont="1" applyFill="1" applyBorder="1" applyAlignment="1"/>
    <xf numFmtId="167" fontId="4" fillId="0" borderId="0" xfId="2" applyNumberFormat="1" applyFont="1" applyFill="1" applyBorder="1" applyAlignment="1"/>
    <xf numFmtId="0" fontId="1" fillId="4" borderId="0" xfId="0" applyFont="1" applyFill="1" applyBorder="1" applyAlignment="1">
      <alignment horizontal="left"/>
    </xf>
    <xf numFmtId="164" fontId="1" fillId="4" borderId="0" xfId="2" applyNumberFormat="1" applyFont="1" applyFill="1" applyBorder="1" applyAlignment="1">
      <alignment horizontal="center"/>
    </xf>
    <xf numFmtId="170" fontId="12" fillId="2" borderId="24" xfId="0" applyNumberFormat="1" applyFont="1" applyFill="1" applyBorder="1" applyAlignment="1">
      <alignment horizontal="left" vertical="center"/>
    </xf>
    <xf numFmtId="170" fontId="12" fillId="2" borderId="16" xfId="0" applyNumberFormat="1" applyFont="1" applyFill="1" applyBorder="1" applyAlignment="1">
      <alignment horizontal="left" vertical="center"/>
    </xf>
    <xf numFmtId="169" fontId="4" fillId="0" borderId="92" xfId="2" applyNumberFormat="1" applyFont="1" applyFill="1" applyBorder="1" applyAlignment="1"/>
    <xf numFmtId="0" fontId="1" fillId="2" borderId="47" xfId="0" applyFont="1" applyFill="1" applyBorder="1"/>
    <xf numFmtId="169" fontId="18" fillId="4" borderId="50" xfId="2" applyNumberFormat="1" applyFont="1" applyFill="1" applyBorder="1"/>
    <xf numFmtId="169" fontId="18" fillId="4" borderId="51" xfId="2" applyNumberFormat="1" applyFont="1" applyFill="1" applyBorder="1"/>
    <xf numFmtId="169" fontId="18" fillId="4" borderId="53" xfId="2" applyNumberFormat="1" applyFont="1" applyFill="1" applyBorder="1"/>
    <xf numFmtId="169" fontId="18" fillId="4" borderId="54" xfId="2" applyNumberFormat="1" applyFont="1" applyFill="1" applyBorder="1"/>
    <xf numFmtId="169" fontId="18" fillId="4" borderId="56" xfId="2" applyNumberFormat="1" applyFont="1" applyFill="1" applyBorder="1"/>
    <xf numFmtId="169" fontId="18" fillId="4" borderId="57" xfId="2" applyNumberFormat="1" applyFont="1" applyFill="1" applyBorder="1"/>
    <xf numFmtId="169" fontId="8" fillId="4" borderId="19" xfId="0" applyNumberFormat="1" applyFont="1" applyFill="1" applyBorder="1"/>
    <xf numFmtId="169" fontId="8" fillId="4" borderId="19" xfId="2" applyNumberFormat="1" applyFont="1" applyFill="1" applyBorder="1"/>
    <xf numFmtId="0" fontId="21" fillId="4" borderId="31" xfId="3" quotePrefix="1" applyFont="1" applyFill="1" applyBorder="1" applyAlignment="1" applyProtection="1">
      <alignment horizontal="left" vertical="center" wrapText="1"/>
    </xf>
    <xf numFmtId="0" fontId="21" fillId="4" borderId="0" xfId="3" quotePrefix="1" applyFont="1" applyFill="1" applyBorder="1" applyAlignment="1" applyProtection="1">
      <alignment horizontal="left" vertical="center" wrapText="1"/>
    </xf>
    <xf numFmtId="0" fontId="21" fillId="4" borderId="12" xfId="3" quotePrefix="1" applyFont="1" applyFill="1" applyBorder="1" applyAlignment="1" applyProtection="1">
      <alignment horizontal="left" vertical="center" wrapText="1"/>
    </xf>
    <xf numFmtId="0" fontId="21" fillId="2" borderId="24" xfId="3" applyFont="1" applyFill="1" applyBorder="1" applyAlignment="1" applyProtection="1">
      <alignment horizontal="center"/>
    </xf>
    <xf numFmtId="0" fontId="21" fillId="2" borderId="15" xfId="3" applyFont="1" applyFill="1" applyBorder="1" applyAlignment="1" applyProtection="1">
      <alignment horizontal="center"/>
    </xf>
    <xf numFmtId="0" fontId="27" fillId="6" borderId="32" xfId="0" applyFont="1" applyFill="1" applyBorder="1" applyAlignment="1">
      <alignment horizontal="left" vertical="center" wrapText="1"/>
    </xf>
    <xf numFmtId="0" fontId="27" fillId="6" borderId="14" xfId="0" applyFont="1" applyFill="1" applyBorder="1" applyAlignment="1">
      <alignment horizontal="left" vertical="center" wrapText="1"/>
    </xf>
    <xf numFmtId="0" fontId="27" fillId="6" borderId="31" xfId="0" applyFont="1" applyFill="1" applyBorder="1" applyAlignment="1">
      <alignment horizontal="left" vertical="center" wrapText="1"/>
    </xf>
    <xf numFmtId="0" fontId="27" fillId="6" borderId="12" xfId="0" applyFont="1" applyFill="1" applyBorder="1" applyAlignment="1">
      <alignment horizontal="left" vertical="center" wrapText="1"/>
    </xf>
    <xf numFmtId="0" fontId="21" fillId="2" borderId="86" xfId="3" applyFont="1" applyFill="1" applyBorder="1" applyAlignment="1" applyProtection="1">
      <alignment horizontal="center"/>
    </xf>
    <xf numFmtId="0" fontId="21" fillId="2" borderId="87" xfId="3" applyFont="1" applyFill="1" applyBorder="1" applyAlignment="1" applyProtection="1">
      <alignment horizontal="center"/>
    </xf>
    <xf numFmtId="0" fontId="21" fillId="2" borderId="31" xfId="3" applyFont="1" applyFill="1" applyBorder="1" applyAlignment="1" applyProtection="1">
      <alignment horizontal="left" vertical="center" wrapText="1"/>
    </xf>
    <xf numFmtId="0" fontId="21" fillId="2" borderId="0" xfId="3" quotePrefix="1" applyFont="1" applyFill="1" applyBorder="1" applyAlignment="1" applyProtection="1">
      <alignment horizontal="left" vertical="center" wrapText="1"/>
    </xf>
    <xf numFmtId="0" fontId="21" fillId="2" borderId="12" xfId="3" quotePrefix="1" applyFont="1" applyFill="1" applyBorder="1" applyAlignment="1" applyProtection="1">
      <alignment horizontal="left" vertical="center" wrapText="1"/>
    </xf>
    <xf numFmtId="0" fontId="43" fillId="4" borderId="31" xfId="3" quotePrefix="1" applyFont="1" applyFill="1" applyBorder="1" applyAlignment="1" applyProtection="1">
      <alignment horizontal="left" vertical="center" wrapText="1"/>
    </xf>
    <xf numFmtId="0" fontId="43" fillId="4" borderId="0" xfId="3" quotePrefix="1" applyFont="1" applyFill="1" applyBorder="1" applyAlignment="1" applyProtection="1">
      <alignment horizontal="left" vertical="center" wrapText="1"/>
    </xf>
    <xf numFmtId="0" fontId="43" fillId="4" borderId="12" xfId="3" quotePrefix="1" applyFont="1" applyFill="1" applyBorder="1" applyAlignment="1" applyProtection="1">
      <alignment horizontal="left" vertical="center" wrapText="1"/>
    </xf>
    <xf numFmtId="2" fontId="16" fillId="3" borderId="31" xfId="0" applyNumberFormat="1" applyFont="1" applyFill="1" applyBorder="1" applyAlignment="1">
      <alignment horizontal="left" vertical="center" wrapText="1"/>
    </xf>
    <xf numFmtId="2" fontId="16" fillId="3" borderId="0" xfId="0" applyNumberFormat="1" applyFont="1" applyFill="1" applyBorder="1" applyAlignment="1">
      <alignment horizontal="left" vertical="center" wrapText="1"/>
    </xf>
    <xf numFmtId="0" fontId="21" fillId="4" borderId="31" xfId="3" applyFont="1" applyFill="1" applyBorder="1" applyAlignment="1" applyProtection="1">
      <alignment horizontal="left" vertical="center" wrapText="1"/>
    </xf>
    <xf numFmtId="0" fontId="0" fillId="4" borderId="31" xfId="0" applyFill="1" applyBorder="1" applyAlignment="1">
      <alignment horizontal="left" vertical="center" wrapText="1"/>
    </xf>
    <xf numFmtId="0" fontId="0" fillId="4" borderId="0" xfId="0" applyFill="1" applyBorder="1" applyAlignment="1">
      <alignment horizontal="left" vertical="center" wrapText="1"/>
    </xf>
    <xf numFmtId="0" fontId="0" fillId="4" borderId="12" xfId="0" applyFill="1" applyBorder="1" applyAlignment="1">
      <alignment horizontal="left" vertical="center" wrapText="1"/>
    </xf>
    <xf numFmtId="0" fontId="0" fillId="4" borderId="33" xfId="0" applyFill="1" applyBorder="1" applyAlignment="1">
      <alignment horizontal="left" vertical="center" wrapText="1"/>
    </xf>
    <xf numFmtId="0" fontId="0" fillId="4" borderId="3" xfId="0" applyFill="1" applyBorder="1" applyAlignment="1">
      <alignment horizontal="left" vertical="center" wrapText="1"/>
    </xf>
    <xf numFmtId="0" fontId="0" fillId="4" borderId="59" xfId="0" applyFill="1" applyBorder="1" applyAlignment="1">
      <alignment horizontal="left" vertical="center" wrapText="1"/>
    </xf>
    <xf numFmtId="0" fontId="21" fillId="2" borderId="84" xfId="3" applyFont="1" applyFill="1" applyBorder="1" applyAlignment="1" applyProtection="1">
      <alignment horizontal="center"/>
    </xf>
    <xf numFmtId="0" fontId="21" fillId="2" borderId="85" xfId="3" applyFont="1" applyFill="1" applyBorder="1" applyAlignment="1" applyProtection="1">
      <alignment horizontal="center"/>
    </xf>
    <xf numFmtId="0" fontId="21" fillId="2" borderId="68" xfId="3" applyFont="1" applyFill="1" applyBorder="1" applyAlignment="1" applyProtection="1">
      <alignment horizontal="center"/>
    </xf>
    <xf numFmtId="0" fontId="21" fillId="2" borderId="71" xfId="3" applyFont="1" applyFill="1" applyBorder="1" applyAlignment="1" applyProtection="1">
      <alignment horizontal="center"/>
    </xf>
    <xf numFmtId="0" fontId="31" fillId="6" borderId="79" xfId="0" applyFont="1" applyFill="1" applyBorder="1" applyAlignment="1">
      <alignment horizontal="left" vertical="center"/>
    </xf>
    <xf numFmtId="0" fontId="31" fillId="6" borderId="80" xfId="0" applyFont="1" applyFill="1" applyBorder="1" applyAlignment="1">
      <alignment horizontal="left" vertical="center"/>
    </xf>
    <xf numFmtId="0" fontId="31" fillId="6" borderId="81" xfId="0" applyFont="1" applyFill="1" applyBorder="1" applyAlignment="1">
      <alignment horizontal="center" vertical="center" wrapText="1"/>
    </xf>
    <xf numFmtId="0" fontId="31" fillId="6" borderId="82" xfId="0" applyFont="1" applyFill="1" applyBorder="1" applyAlignment="1">
      <alignment horizontal="center" vertical="center" wrapText="1"/>
    </xf>
    <xf numFmtId="0" fontId="0" fillId="2" borderId="60" xfId="0" applyFill="1" applyBorder="1" applyAlignment="1">
      <alignment horizontal="left"/>
    </xf>
    <xf numFmtId="0" fontId="0" fillId="2" borderId="24" xfId="0" applyFill="1" applyBorder="1" applyAlignment="1">
      <alignment horizontal="left"/>
    </xf>
    <xf numFmtId="0" fontId="0" fillId="2" borderId="16" xfId="0" applyFill="1" applyBorder="1" applyAlignment="1">
      <alignment horizontal="left"/>
    </xf>
    <xf numFmtId="170" fontId="4" fillId="0" borderId="2" xfId="0" applyNumberFormat="1" applyFont="1" applyFill="1" applyBorder="1" applyAlignment="1">
      <alignment horizontal="left"/>
    </xf>
    <xf numFmtId="170" fontId="0" fillId="0" borderId="2" xfId="0" applyNumberFormat="1" applyBorder="1" applyAlignment="1"/>
    <xf numFmtId="170" fontId="0" fillId="0" borderId="13" xfId="0" applyNumberFormat="1" applyBorder="1" applyAlignment="1"/>
    <xf numFmtId="0" fontId="34" fillId="4" borderId="35" xfId="0" quotePrefix="1" applyFont="1" applyFill="1" applyBorder="1" applyAlignment="1">
      <alignment horizontal="left" vertical="center" wrapText="1"/>
    </xf>
    <xf numFmtId="0" fontId="34" fillId="4" borderId="37" xfId="0" quotePrefix="1" applyFont="1" applyFill="1" applyBorder="1" applyAlignment="1">
      <alignment horizontal="left" vertical="center" wrapText="1"/>
    </xf>
    <xf numFmtId="0" fontId="35" fillId="4" borderId="83" xfId="0" applyFont="1" applyFill="1" applyBorder="1" applyAlignment="1">
      <alignment horizontal="center" vertical="center"/>
    </xf>
    <xf numFmtId="0" fontId="35" fillId="4" borderId="82" xfId="0" applyFont="1" applyFill="1" applyBorder="1" applyAlignment="1">
      <alignment horizontal="center" vertical="center"/>
    </xf>
    <xf numFmtId="0" fontId="8" fillId="2" borderId="72" xfId="0" applyFont="1" applyFill="1" applyBorder="1" applyAlignment="1">
      <alignment horizontal="left"/>
    </xf>
    <xf numFmtId="0" fontId="0" fillId="2" borderId="25" xfId="0" applyFill="1" applyBorder="1" applyAlignment="1">
      <alignment horizontal="left"/>
    </xf>
    <xf numFmtId="0" fontId="0" fillId="2" borderId="28" xfId="0" applyFill="1" applyBorder="1" applyAlignment="1">
      <alignment horizontal="left"/>
    </xf>
    <xf numFmtId="0" fontId="12" fillId="2" borderId="72" xfId="0" applyFont="1" applyFill="1" applyBorder="1" applyAlignment="1">
      <alignment horizontal="left" vertical="center"/>
    </xf>
    <xf numFmtId="0" fontId="12" fillId="2" borderId="25" xfId="0" applyFont="1" applyFill="1" applyBorder="1" applyAlignment="1">
      <alignment horizontal="left" vertical="center"/>
    </xf>
    <xf numFmtId="0" fontId="12" fillId="2" borderId="28" xfId="0" applyFont="1" applyFill="1" applyBorder="1" applyAlignment="1">
      <alignment horizontal="left" vertical="center"/>
    </xf>
    <xf numFmtId="0" fontId="8" fillId="2" borderId="78" xfId="0" applyFont="1" applyFill="1" applyBorder="1" applyAlignment="1">
      <alignment horizontal="left"/>
    </xf>
    <xf numFmtId="0" fontId="0" fillId="2" borderId="26" xfId="0" applyFill="1" applyBorder="1" applyAlignment="1">
      <alignment horizontal="left"/>
    </xf>
    <xf numFmtId="0" fontId="0" fillId="2" borderId="66" xfId="0" applyFill="1" applyBorder="1" applyAlignment="1">
      <alignment horizontal="left"/>
    </xf>
    <xf numFmtId="0" fontId="12" fillId="2" borderId="60" xfId="0" applyFont="1" applyFill="1" applyBorder="1" applyAlignment="1">
      <alignment horizontal="left" vertical="center"/>
    </xf>
    <xf numFmtId="0" fontId="13" fillId="2" borderId="24" xfId="0" applyFont="1" applyFill="1" applyBorder="1" applyAlignment="1">
      <alignment horizontal="left" vertical="center"/>
    </xf>
    <xf numFmtId="0" fontId="13" fillId="2" borderId="16" xfId="0" applyFont="1" applyFill="1" applyBorder="1" applyAlignment="1">
      <alignment horizontal="left" vertical="center"/>
    </xf>
    <xf numFmtId="0" fontId="33" fillId="4" borderId="94" xfId="0" applyFont="1" applyFill="1" applyBorder="1" applyAlignment="1">
      <alignment horizontal="left"/>
    </xf>
    <xf numFmtId="0" fontId="33" fillId="4" borderId="86" xfId="0" applyFont="1" applyFill="1" applyBorder="1" applyAlignment="1">
      <alignment horizontal="left"/>
    </xf>
    <xf numFmtId="0" fontId="33" fillId="4" borderId="95" xfId="0" applyFont="1" applyFill="1" applyBorder="1" applyAlignment="1">
      <alignment horizontal="left"/>
    </xf>
    <xf numFmtId="0" fontId="8" fillId="2" borderId="60" xfId="0" applyFont="1" applyFill="1" applyBorder="1" applyAlignment="1">
      <alignment horizontal="left"/>
    </xf>
    <xf numFmtId="0" fontId="12" fillId="4" borderId="0" xfId="0" applyFont="1" applyFill="1" applyBorder="1" applyAlignment="1">
      <alignment horizontal="left" vertical="center"/>
    </xf>
    <xf numFmtId="0" fontId="13" fillId="4" borderId="0" xfId="0" applyFont="1" applyFill="1" applyBorder="1" applyAlignment="1">
      <alignment horizontal="left" vertical="center"/>
    </xf>
    <xf numFmtId="167" fontId="28" fillId="4" borderId="0" xfId="0" applyNumberFormat="1" applyFont="1" applyFill="1" applyBorder="1" applyAlignment="1">
      <alignment horizontal="center"/>
    </xf>
    <xf numFmtId="167" fontId="28" fillId="6" borderId="18" xfId="0" applyNumberFormat="1" applyFont="1" applyFill="1" applyBorder="1" applyAlignment="1">
      <alignment horizontal="center"/>
    </xf>
    <xf numFmtId="167" fontId="28" fillId="6" borderId="75" xfId="0" applyNumberFormat="1" applyFont="1" applyFill="1" applyBorder="1" applyAlignment="1">
      <alignment horizontal="center"/>
    </xf>
    <xf numFmtId="0" fontId="4" fillId="4" borderId="74" xfId="0" applyFont="1" applyFill="1" applyBorder="1" applyAlignment="1">
      <alignment horizontal="left"/>
    </xf>
    <xf numFmtId="0" fontId="4" fillId="4" borderId="2" xfId="0" applyFont="1" applyFill="1" applyBorder="1" applyAlignment="1">
      <alignment horizontal="left"/>
    </xf>
    <xf numFmtId="0" fontId="4" fillId="4" borderId="13" xfId="0" applyFont="1" applyFill="1" applyBorder="1" applyAlignment="1">
      <alignment horizontal="left"/>
    </xf>
    <xf numFmtId="0" fontId="30" fillId="6" borderId="43" xfId="0" applyFont="1" applyFill="1" applyBorder="1" applyAlignment="1">
      <alignment horizontal="center"/>
    </xf>
    <xf numFmtId="0" fontId="30" fillId="6" borderId="44" xfId="0" applyFont="1" applyFill="1" applyBorder="1" applyAlignment="1">
      <alignment horizontal="center"/>
    </xf>
    <xf numFmtId="0" fontId="22" fillId="4" borderId="88" xfId="0" applyFont="1" applyFill="1" applyBorder="1" applyAlignment="1">
      <alignment horizontal="left" vertical="center" wrapText="1"/>
    </xf>
    <xf numFmtId="0" fontId="22" fillId="4" borderId="8" xfId="0" applyFont="1" applyFill="1" applyBorder="1" applyAlignment="1">
      <alignment horizontal="left" vertical="center" wrapText="1"/>
    </xf>
    <xf numFmtId="0" fontId="22" fillId="4" borderId="89" xfId="0" applyFont="1" applyFill="1" applyBorder="1" applyAlignment="1">
      <alignment horizontal="left" vertical="center" wrapText="1"/>
    </xf>
    <xf numFmtId="0" fontId="22" fillId="4" borderId="93" xfId="0" applyFont="1" applyFill="1" applyBorder="1" applyAlignment="1">
      <alignment horizontal="left" vertical="center" wrapText="1"/>
    </xf>
    <xf numFmtId="0" fontId="22" fillId="4" borderId="0" xfId="0" applyFont="1" applyFill="1" applyBorder="1" applyAlignment="1">
      <alignment horizontal="left" vertical="center" wrapText="1"/>
    </xf>
    <xf numFmtId="0" fontId="22" fillId="4" borderId="4" xfId="0" applyFont="1" applyFill="1" applyBorder="1" applyAlignment="1">
      <alignment horizontal="left" vertical="center" wrapText="1"/>
    </xf>
    <xf numFmtId="0" fontId="22" fillId="4" borderId="90" xfId="0" applyFont="1" applyFill="1" applyBorder="1" applyAlignment="1">
      <alignment horizontal="left" vertical="center" wrapText="1"/>
    </xf>
    <xf numFmtId="0" fontId="22" fillId="4" borderId="11" xfId="0" applyFont="1" applyFill="1" applyBorder="1" applyAlignment="1">
      <alignment horizontal="left" vertical="center" wrapText="1"/>
    </xf>
    <xf numFmtId="0" fontId="22" fillId="4" borderId="91" xfId="0" applyFont="1" applyFill="1" applyBorder="1" applyAlignment="1">
      <alignment horizontal="left" vertical="center" wrapText="1"/>
    </xf>
    <xf numFmtId="0" fontId="33" fillId="0" borderId="76" xfId="0" applyFont="1" applyBorder="1" applyAlignment="1"/>
    <xf numFmtId="0" fontId="33" fillId="0" borderId="1" xfId="0" applyFont="1" applyBorder="1" applyAlignment="1"/>
    <xf numFmtId="0" fontId="33" fillId="0" borderId="5" xfId="0" applyFont="1" applyBorder="1" applyAlignment="1"/>
    <xf numFmtId="0" fontId="33" fillId="0" borderId="63" xfId="0" applyFont="1" applyBorder="1" applyAlignment="1">
      <alignment horizontal="center" wrapText="1"/>
    </xf>
    <xf numFmtId="0" fontId="33" fillId="0" borderId="77" xfId="0" applyFont="1" applyBorder="1" applyAlignment="1">
      <alignment horizontal="center" wrapText="1"/>
    </xf>
    <xf numFmtId="0" fontId="1" fillId="2" borderId="72" xfId="0" applyFont="1" applyFill="1" applyBorder="1" applyAlignment="1"/>
    <xf numFmtId="0" fontId="0" fillId="2" borderId="25" xfId="0" applyFill="1" applyBorder="1" applyAlignment="1"/>
    <xf numFmtId="0" fontId="0" fillId="2" borderId="28" xfId="0" applyFill="1" applyBorder="1" applyAlignment="1"/>
    <xf numFmtId="0" fontId="0" fillId="2" borderId="27" xfId="0" applyFill="1" applyBorder="1" applyAlignment="1">
      <alignment horizontal="center"/>
    </xf>
    <xf numFmtId="0" fontId="0" fillId="2" borderId="73" xfId="0" applyFill="1" applyBorder="1" applyAlignment="1">
      <alignment horizontal="center"/>
    </xf>
    <xf numFmtId="0" fontId="0" fillId="2" borderId="29" xfId="0" applyFill="1" applyBorder="1" applyAlignment="1">
      <alignment horizontal="center"/>
    </xf>
    <xf numFmtId="0" fontId="0" fillId="2" borderId="15" xfId="0" applyFill="1" applyBorder="1" applyAlignment="1">
      <alignment horizontal="center"/>
    </xf>
    <xf numFmtId="0" fontId="0" fillId="2" borderId="67" xfId="0" applyFill="1" applyBorder="1" applyAlignment="1"/>
    <xf numFmtId="0" fontId="0" fillId="2" borderId="68" xfId="0" applyFill="1" applyBorder="1" applyAlignment="1"/>
    <xf numFmtId="0" fontId="0" fillId="2" borderId="69" xfId="0" applyFill="1" applyBorder="1" applyAlignment="1"/>
    <xf numFmtId="0" fontId="0" fillId="2" borderId="70" xfId="0" applyFill="1" applyBorder="1" applyAlignment="1">
      <alignment horizontal="center"/>
    </xf>
    <xf numFmtId="0" fontId="0" fillId="2" borderId="71" xfId="0" applyFill="1" applyBorder="1" applyAlignment="1">
      <alignment horizontal="center"/>
    </xf>
    <xf numFmtId="0" fontId="0" fillId="2" borderId="60" xfId="0" applyFill="1" applyBorder="1" applyAlignment="1"/>
    <xf numFmtId="0" fontId="0" fillId="2" borderId="24" xfId="0" applyFill="1" applyBorder="1" applyAlignment="1"/>
    <xf numFmtId="0" fontId="0" fillId="2" borderId="16" xfId="0" applyFill="1" applyBorder="1" applyAlignment="1"/>
    <xf numFmtId="0" fontId="8" fillId="4" borderId="63" xfId="0" applyFont="1" applyFill="1" applyBorder="1" applyAlignment="1">
      <alignment horizontal="center"/>
    </xf>
    <xf numFmtId="0" fontId="0" fillId="4" borderId="1" xfId="0" applyFill="1" applyBorder="1" applyAlignment="1">
      <alignment horizontal="center"/>
    </xf>
    <xf numFmtId="0" fontId="0" fillId="4" borderId="5" xfId="0" applyFill="1" applyBorder="1" applyAlignment="1">
      <alignment horizontal="center"/>
    </xf>
    <xf numFmtId="0" fontId="1" fillId="2" borderId="78" xfId="0" applyFont="1" applyFill="1" applyBorder="1" applyAlignment="1">
      <alignment horizontal="left"/>
    </xf>
    <xf numFmtId="0" fontId="1" fillId="2" borderId="72" xfId="0" applyFont="1" applyFill="1" applyBorder="1" applyAlignment="1">
      <alignment horizontal="left"/>
    </xf>
    <xf numFmtId="0" fontId="12" fillId="2" borderId="24" xfId="0" applyFont="1" applyFill="1" applyBorder="1" applyAlignment="1">
      <alignment horizontal="left" vertical="center"/>
    </xf>
    <xf numFmtId="0" fontId="12" fillId="2" borderId="16" xfId="0" applyFont="1" applyFill="1" applyBorder="1" applyAlignment="1">
      <alignment horizontal="left" vertical="center"/>
    </xf>
    <xf numFmtId="0" fontId="1" fillId="2" borderId="60" xfId="0" applyFont="1" applyFill="1" applyBorder="1" applyAlignment="1">
      <alignment horizontal="left"/>
    </xf>
  </cellXfs>
  <cellStyles count="5">
    <cellStyle name="Collegamento ipertestuale" xfId="3" builtinId="8"/>
    <cellStyle name="Comma 2" xfId="1"/>
    <cellStyle name="Normal 2" xfId="4"/>
    <cellStyle name="Normale" xfId="0" builtinId="0"/>
    <cellStyle name="Valuta" xfId="2" builtin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6</xdr:col>
      <xdr:colOff>68036</xdr:colOff>
      <xdr:row>2</xdr:row>
      <xdr:rowOff>231320</xdr:rowOff>
    </xdr:from>
    <xdr:to>
      <xdr:col>9</xdr:col>
      <xdr:colOff>272143</xdr:colOff>
      <xdr:row>4</xdr:row>
      <xdr:rowOff>13607</xdr:rowOff>
    </xdr:to>
    <xdr:sp macro="" textlink="">
      <xdr:nvSpPr>
        <xdr:cNvPr id="6" name="TextBox 1"/>
        <xdr:cNvSpPr txBox="1"/>
      </xdr:nvSpPr>
      <xdr:spPr>
        <a:xfrm>
          <a:off x="9280072" y="707570"/>
          <a:ext cx="2911928" cy="285751"/>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① Supplier</a:t>
          </a:r>
          <a:r>
            <a:rPr lang="en-US" sz="1100" b="1" baseline="0">
              <a:solidFill>
                <a:srgbClr val="FF0000"/>
              </a:solidFill>
            </a:rPr>
            <a:t>:</a:t>
          </a:r>
          <a:r>
            <a:rPr lang="en-US" sz="1100" b="1">
              <a:solidFill>
                <a:srgbClr val="FF0000"/>
              </a:solidFill>
            </a:rPr>
            <a:t>Input Part Name</a:t>
          </a:r>
        </a:p>
      </xdr:txBody>
    </xdr:sp>
    <xdr:clientData/>
  </xdr:twoCellAnchor>
  <xdr:twoCellAnchor>
    <xdr:from>
      <xdr:col>6</xdr:col>
      <xdr:colOff>453092</xdr:colOff>
      <xdr:row>5</xdr:row>
      <xdr:rowOff>27212</xdr:rowOff>
    </xdr:from>
    <xdr:to>
      <xdr:col>9</xdr:col>
      <xdr:colOff>657199</xdr:colOff>
      <xdr:row>6</xdr:row>
      <xdr:rowOff>81642</xdr:rowOff>
    </xdr:to>
    <xdr:sp macro="" textlink="">
      <xdr:nvSpPr>
        <xdr:cNvPr id="7" name="TextBox 4"/>
        <xdr:cNvSpPr txBox="1"/>
      </xdr:nvSpPr>
      <xdr:spPr>
        <a:xfrm>
          <a:off x="9665128" y="1238248"/>
          <a:ext cx="2911928" cy="285751"/>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nSpc>
              <a:spcPts val="1200"/>
            </a:lnSpc>
          </a:pPr>
          <a:r>
            <a:rPr lang="en-US" sz="1100" b="1">
              <a:solidFill>
                <a:srgbClr val="FF0000"/>
              </a:solidFill>
              <a:latin typeface="+mn-lt"/>
              <a:ea typeface="+mn-ea"/>
              <a:cs typeface="+mn-cs"/>
            </a:rPr>
            <a:t>② Engineer/Buyer:  Is part production sourced</a:t>
          </a:r>
        </a:p>
      </xdr:txBody>
    </xdr:sp>
    <xdr:clientData/>
  </xdr:twoCellAnchor>
  <xdr:twoCellAnchor>
    <xdr:from>
      <xdr:col>6</xdr:col>
      <xdr:colOff>176891</xdr:colOff>
      <xdr:row>12</xdr:row>
      <xdr:rowOff>108857</xdr:rowOff>
    </xdr:from>
    <xdr:to>
      <xdr:col>9</xdr:col>
      <xdr:colOff>380998</xdr:colOff>
      <xdr:row>14</xdr:row>
      <xdr:rowOff>204107</xdr:rowOff>
    </xdr:to>
    <xdr:sp macro="" textlink="">
      <xdr:nvSpPr>
        <xdr:cNvPr id="8" name="TextBox 5"/>
        <xdr:cNvSpPr txBox="1"/>
      </xdr:nvSpPr>
      <xdr:spPr>
        <a:xfrm>
          <a:off x="9388927" y="2979964"/>
          <a:ext cx="2911928" cy="557893"/>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FF0000"/>
              </a:solidFill>
              <a:latin typeface="+mn-lt"/>
              <a:ea typeface="+mn-ea"/>
              <a:cs typeface="+mn-cs"/>
            </a:rPr>
            <a:t>③ Supplier:  provide desciption of services and deliverables to be supplied</a:t>
          </a:r>
        </a:p>
      </xdr:txBody>
    </xdr:sp>
    <xdr:clientData/>
  </xdr:twoCellAnchor>
  <xdr:twoCellAnchor>
    <xdr:from>
      <xdr:col>14</xdr:col>
      <xdr:colOff>721177</xdr:colOff>
      <xdr:row>2</xdr:row>
      <xdr:rowOff>40822</xdr:rowOff>
    </xdr:from>
    <xdr:to>
      <xdr:col>17</xdr:col>
      <xdr:colOff>666748</xdr:colOff>
      <xdr:row>4</xdr:row>
      <xdr:rowOff>95251</xdr:rowOff>
    </xdr:to>
    <xdr:sp macro="" textlink="">
      <xdr:nvSpPr>
        <xdr:cNvPr id="9" name="TextBox 6"/>
        <xdr:cNvSpPr txBox="1"/>
      </xdr:nvSpPr>
      <xdr:spPr>
        <a:xfrm>
          <a:off x="17376320" y="517072"/>
          <a:ext cx="2911928" cy="557893"/>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FF0000"/>
              </a:solidFill>
              <a:latin typeface="+mn-lt"/>
              <a:ea typeface="+mn-ea"/>
              <a:cs typeface="+mn-cs"/>
            </a:rPr>
            <a:t>④ Engineer:  Provide Comtact information </a:t>
          </a:r>
        </a:p>
      </xdr:txBody>
    </xdr:sp>
    <xdr:clientData/>
  </xdr:twoCellAnchor>
  <xdr:twoCellAnchor>
    <xdr:from>
      <xdr:col>14</xdr:col>
      <xdr:colOff>435428</xdr:colOff>
      <xdr:row>7</xdr:row>
      <xdr:rowOff>0</xdr:rowOff>
    </xdr:from>
    <xdr:to>
      <xdr:col>17</xdr:col>
      <xdr:colOff>380999</xdr:colOff>
      <xdr:row>8</xdr:row>
      <xdr:rowOff>122464</xdr:rowOff>
    </xdr:to>
    <xdr:sp macro="" textlink="">
      <xdr:nvSpPr>
        <xdr:cNvPr id="10" name="TextBox 7"/>
        <xdr:cNvSpPr txBox="1"/>
      </xdr:nvSpPr>
      <xdr:spPr>
        <a:xfrm>
          <a:off x="17090571" y="1673679"/>
          <a:ext cx="2911928" cy="353785"/>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FF0000"/>
              </a:solidFill>
              <a:latin typeface="+mn-lt"/>
              <a:ea typeface="+mn-ea"/>
              <a:cs typeface="+mn-cs"/>
            </a:rPr>
            <a:t>④ Engineer:  Provide program information </a:t>
          </a:r>
        </a:p>
      </xdr:txBody>
    </xdr:sp>
    <xdr:clientData/>
  </xdr:twoCellAnchor>
  <xdr:twoCellAnchor>
    <xdr:from>
      <xdr:col>15</xdr:col>
      <xdr:colOff>870856</xdr:colOff>
      <xdr:row>15</xdr:row>
      <xdr:rowOff>136072</xdr:rowOff>
    </xdr:from>
    <xdr:to>
      <xdr:col>17</xdr:col>
      <xdr:colOff>1687284</xdr:colOff>
      <xdr:row>17</xdr:row>
      <xdr:rowOff>54429</xdr:rowOff>
    </xdr:to>
    <xdr:sp macro="" textlink="">
      <xdr:nvSpPr>
        <xdr:cNvPr id="11" name="TextBox 9"/>
        <xdr:cNvSpPr txBox="1"/>
      </xdr:nvSpPr>
      <xdr:spPr>
        <a:xfrm>
          <a:off x="18396856" y="3701143"/>
          <a:ext cx="2911928" cy="381000"/>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FF0000"/>
              </a:solidFill>
              <a:latin typeface="+mn-lt"/>
              <a:ea typeface="+mn-ea"/>
              <a:cs typeface="+mn-cs"/>
            </a:rPr>
            <a:t>④ ED&amp;D Analyst Provide tracking information </a:t>
          </a:r>
        </a:p>
      </xdr:txBody>
    </xdr:sp>
    <xdr:clientData/>
  </xdr:twoCellAnchor>
  <xdr:twoCellAnchor>
    <xdr:from>
      <xdr:col>1</xdr:col>
      <xdr:colOff>149678</xdr:colOff>
      <xdr:row>26</xdr:row>
      <xdr:rowOff>40819</xdr:rowOff>
    </xdr:from>
    <xdr:to>
      <xdr:col>1</xdr:col>
      <xdr:colOff>3061606</xdr:colOff>
      <xdr:row>29</xdr:row>
      <xdr:rowOff>81640</xdr:rowOff>
    </xdr:to>
    <xdr:sp macro="" textlink="">
      <xdr:nvSpPr>
        <xdr:cNvPr id="12" name="TextBox 11"/>
        <xdr:cNvSpPr txBox="1"/>
      </xdr:nvSpPr>
      <xdr:spPr>
        <a:xfrm>
          <a:off x="761999" y="6300105"/>
          <a:ext cx="2911928" cy="612321"/>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FF0000"/>
              </a:solidFill>
              <a:latin typeface="+mn-lt"/>
              <a:ea typeface="+mn-ea"/>
              <a:cs typeface="+mn-cs"/>
            </a:rPr>
            <a:t>⑤ Supplier:  Provide role, hours, and rate information</a:t>
          </a:r>
        </a:p>
      </xdr:txBody>
    </xdr:sp>
    <xdr:clientData/>
  </xdr:twoCellAnchor>
  <xdr:twoCellAnchor>
    <xdr:from>
      <xdr:col>1</xdr:col>
      <xdr:colOff>2258786</xdr:colOff>
      <xdr:row>44</xdr:row>
      <xdr:rowOff>176893</xdr:rowOff>
    </xdr:from>
    <xdr:to>
      <xdr:col>2</xdr:col>
      <xdr:colOff>911678</xdr:colOff>
      <xdr:row>46</xdr:row>
      <xdr:rowOff>176893</xdr:rowOff>
    </xdr:to>
    <xdr:sp macro="" textlink="">
      <xdr:nvSpPr>
        <xdr:cNvPr id="13" name="TextBox 12"/>
        <xdr:cNvSpPr txBox="1"/>
      </xdr:nvSpPr>
      <xdr:spPr>
        <a:xfrm>
          <a:off x="2871107" y="10504714"/>
          <a:ext cx="2911928" cy="381000"/>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FF0000"/>
              </a:solidFill>
              <a:latin typeface="+mn-lt"/>
              <a:ea typeface="+mn-ea"/>
              <a:cs typeface="+mn-cs"/>
            </a:rPr>
            <a:t>⑥ Supplier:  Provide testing information</a:t>
          </a:r>
        </a:p>
      </xdr:txBody>
    </xdr:sp>
    <xdr:clientData/>
  </xdr:twoCellAnchor>
  <xdr:twoCellAnchor>
    <xdr:from>
      <xdr:col>13</xdr:col>
      <xdr:colOff>326565</xdr:colOff>
      <xdr:row>38</xdr:row>
      <xdr:rowOff>394607</xdr:rowOff>
    </xdr:from>
    <xdr:to>
      <xdr:col>15</xdr:col>
      <xdr:colOff>911672</xdr:colOff>
      <xdr:row>40</xdr:row>
      <xdr:rowOff>13607</xdr:rowOff>
    </xdr:to>
    <xdr:sp macro="" textlink="">
      <xdr:nvSpPr>
        <xdr:cNvPr id="14" name="TextBox 14"/>
        <xdr:cNvSpPr txBox="1"/>
      </xdr:nvSpPr>
      <xdr:spPr>
        <a:xfrm>
          <a:off x="15525744" y="8939893"/>
          <a:ext cx="2911928" cy="530678"/>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FF0000"/>
              </a:solidFill>
              <a:latin typeface="+mn-lt"/>
              <a:ea typeface="+mn-ea"/>
              <a:cs typeface="+mn-cs"/>
            </a:rPr>
            <a:t>⑦ Supplier:  Provide Mock up cost information</a:t>
          </a:r>
        </a:p>
      </xdr:txBody>
    </xdr:sp>
    <xdr:clientData/>
  </xdr:twoCellAnchor>
  <xdr:twoCellAnchor>
    <xdr:from>
      <xdr:col>1</xdr:col>
      <xdr:colOff>435429</xdr:colOff>
      <xdr:row>71</xdr:row>
      <xdr:rowOff>136072</xdr:rowOff>
    </xdr:from>
    <xdr:to>
      <xdr:col>1</xdr:col>
      <xdr:colOff>3347357</xdr:colOff>
      <xdr:row>73</xdr:row>
      <xdr:rowOff>136072</xdr:rowOff>
    </xdr:to>
    <xdr:sp macro="" textlink="">
      <xdr:nvSpPr>
        <xdr:cNvPr id="15" name="TextBox 15"/>
        <xdr:cNvSpPr txBox="1"/>
      </xdr:nvSpPr>
      <xdr:spPr>
        <a:xfrm>
          <a:off x="1047750" y="15607393"/>
          <a:ext cx="2911928" cy="381000"/>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FF0000"/>
              </a:solidFill>
              <a:latin typeface="+mn-lt"/>
              <a:ea typeface="+mn-ea"/>
              <a:cs typeface="+mn-cs"/>
            </a:rPr>
            <a:t>⑧ Supplier:  Provide Team Roster information</a:t>
          </a:r>
        </a:p>
      </xdr:txBody>
    </xdr:sp>
    <xdr:clientData/>
  </xdr:twoCellAnchor>
  <xdr:twoCellAnchor>
    <xdr:from>
      <xdr:col>13</xdr:col>
      <xdr:colOff>68029</xdr:colOff>
      <xdr:row>55</xdr:row>
      <xdr:rowOff>55790</xdr:rowOff>
    </xdr:from>
    <xdr:to>
      <xdr:col>15</xdr:col>
      <xdr:colOff>653136</xdr:colOff>
      <xdr:row>58</xdr:row>
      <xdr:rowOff>14968</xdr:rowOff>
    </xdr:to>
    <xdr:sp macro="" textlink="">
      <xdr:nvSpPr>
        <xdr:cNvPr id="16" name="TextBox 14"/>
        <xdr:cNvSpPr txBox="1"/>
      </xdr:nvSpPr>
      <xdr:spPr>
        <a:xfrm>
          <a:off x="15250879" y="12381140"/>
          <a:ext cx="2918732" cy="530678"/>
        </a:xfrm>
        <a:prstGeom prst="rect">
          <a:avLst/>
        </a:prstGeom>
        <a:solidFill>
          <a:srgbClr val="FFFF99"/>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FF0000"/>
              </a:solidFill>
              <a:latin typeface="+mn-lt"/>
              <a:ea typeface="+mn-ea"/>
              <a:cs typeface="+mn-cs"/>
            </a:rPr>
            <a:t>9 Supplier:  Provide testing part</a:t>
          </a:r>
          <a:r>
            <a:rPr lang="en-US" sz="1100" b="1" baseline="0">
              <a:solidFill>
                <a:srgbClr val="FF0000"/>
              </a:solidFill>
              <a:latin typeface="+mn-lt"/>
              <a:ea typeface="+mn-ea"/>
              <a:cs typeface="+mn-cs"/>
            </a:rPr>
            <a:t> </a:t>
          </a:r>
          <a:r>
            <a:rPr lang="en-US" sz="1100" b="1">
              <a:solidFill>
                <a:srgbClr val="FF0000"/>
              </a:solidFill>
              <a:latin typeface="+mn-lt"/>
              <a:ea typeface="+mn-ea"/>
              <a:cs typeface="+mn-cs"/>
            </a:rPr>
            <a:t>informations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16</xdr:col>
      <xdr:colOff>126999</xdr:colOff>
      <xdr:row>70</xdr:row>
      <xdr:rowOff>54429</xdr:rowOff>
    </xdr:from>
    <xdr:ext cx="1322285" cy="264560"/>
    <xdr:sp macro="" textlink="">
      <xdr:nvSpPr>
        <xdr:cNvPr id="2" name="TextBox 1"/>
        <xdr:cNvSpPr txBox="1"/>
      </xdr:nvSpPr>
      <xdr:spPr>
        <a:xfrm rot="19506605">
          <a:off x="18691224" y="15237279"/>
          <a:ext cx="1322285" cy="26456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REGIONAL</a:t>
          </a:r>
          <a:r>
            <a:rPr lang="en-US" sz="1100" baseline="0"/>
            <a:t> VERSION</a:t>
          </a:r>
          <a:endParaRPr lang="en-US" sz="1100"/>
        </a:p>
      </xdr:txBody>
    </xdr:sp>
    <xdr:clientData/>
  </xdr:one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B1:X80"/>
  <sheetViews>
    <sheetView showGridLines="0" tabSelected="1" topLeftCell="A4" zoomScale="70" zoomScaleNormal="70" zoomScaleSheetLayoutView="80" workbookViewId="0">
      <selection activeCell="B100" sqref="B100"/>
    </sheetView>
  </sheetViews>
  <sheetFormatPr defaultRowHeight="12.75" x14ac:dyDescent="0.2"/>
  <cols>
    <col min="2" max="2" width="63.85546875" customWidth="1"/>
    <col min="3" max="3" width="22.5703125" customWidth="1"/>
    <col min="4" max="4" width="20.85546875" customWidth="1"/>
    <col min="5" max="5" width="9.140625" customWidth="1"/>
    <col min="6" max="6" width="12.42578125" customWidth="1"/>
    <col min="7" max="7" width="10.7109375" customWidth="1"/>
    <col min="8" max="8" width="14.140625" customWidth="1"/>
    <col min="9" max="9" width="15.7109375" customWidth="1"/>
    <col min="10" max="10" width="10.7109375" customWidth="1"/>
    <col min="11" max="11" width="9.5703125" customWidth="1"/>
    <col min="12" max="12" width="13.140625" customWidth="1"/>
    <col min="13" max="13" width="15.7109375" customWidth="1"/>
    <col min="14" max="14" width="21.85546875" customWidth="1"/>
    <col min="15" max="15" width="13.140625" customWidth="1"/>
    <col min="16" max="17" width="15.7109375" customWidth="1"/>
    <col min="18" max="18" width="26.42578125" customWidth="1"/>
    <col min="19" max="19" width="12.28515625" bestFit="1" customWidth="1"/>
  </cols>
  <sheetData>
    <row r="1" spans="2:24" ht="13.5" thickBot="1" x14ac:dyDescent="0.25"/>
    <row r="2" spans="2:24" ht="23.25" customHeight="1" x14ac:dyDescent="0.35">
      <c r="B2" s="313" t="s">
        <v>92</v>
      </c>
      <c r="C2" s="314"/>
      <c r="D2" s="43"/>
      <c r="E2" s="98" t="s">
        <v>62</v>
      </c>
      <c r="F2" s="99"/>
      <c r="G2" s="99"/>
      <c r="H2" s="99"/>
      <c r="I2" s="99"/>
      <c r="J2" s="140"/>
      <c r="K2" s="10"/>
      <c r="L2" s="98" t="s">
        <v>74</v>
      </c>
      <c r="M2" s="99"/>
      <c r="N2" s="100"/>
      <c r="O2" s="100"/>
      <c r="P2" s="100"/>
      <c r="Q2" s="101"/>
      <c r="R2" s="16"/>
    </row>
    <row r="3" spans="2:24" ht="21" customHeight="1" x14ac:dyDescent="0.25">
      <c r="B3" s="315"/>
      <c r="C3" s="316"/>
      <c r="D3" s="10"/>
      <c r="E3" s="102" t="s">
        <v>74</v>
      </c>
      <c r="F3" s="103"/>
      <c r="G3" s="103"/>
      <c r="H3" s="103"/>
      <c r="I3" s="103"/>
      <c r="J3" s="141"/>
      <c r="K3" s="10"/>
      <c r="L3" s="39" t="s">
        <v>16</v>
      </c>
      <c r="M3" s="24"/>
      <c r="N3" s="24"/>
      <c r="O3" s="36" t="s">
        <v>58</v>
      </c>
      <c r="P3" s="10"/>
      <c r="Q3" s="38"/>
      <c r="R3" s="22"/>
      <c r="S3" s="22"/>
      <c r="U3" s="22"/>
      <c r="V3" s="16"/>
      <c r="W3" s="16"/>
      <c r="X3" s="16"/>
    </row>
    <row r="4" spans="2:24" ht="18" customHeight="1" x14ac:dyDescent="0.25">
      <c r="B4" s="62"/>
      <c r="C4" s="38"/>
      <c r="D4" s="28"/>
      <c r="E4" s="308" t="s">
        <v>60</v>
      </c>
      <c r="F4" s="309"/>
      <c r="G4" s="309"/>
      <c r="H4" s="309"/>
      <c r="I4" s="309"/>
      <c r="J4" s="310"/>
      <c r="K4" s="10"/>
      <c r="L4" s="37" t="s">
        <v>75</v>
      </c>
      <c r="M4" s="10"/>
      <c r="N4" s="96" t="s">
        <v>80</v>
      </c>
      <c r="O4" s="317" t="s">
        <v>102</v>
      </c>
      <c r="P4" s="317"/>
      <c r="Q4" s="318"/>
      <c r="R4" s="15"/>
      <c r="S4" s="15"/>
      <c r="U4" s="15"/>
      <c r="V4" s="15"/>
      <c r="W4" s="16"/>
      <c r="X4" s="16"/>
    </row>
    <row r="5" spans="2:24" ht="18" customHeight="1" x14ac:dyDescent="0.25">
      <c r="B5" s="63" t="s">
        <v>52</v>
      </c>
      <c r="C5" s="64"/>
      <c r="D5" s="28"/>
      <c r="E5" s="319"/>
      <c r="F5" s="320"/>
      <c r="G5" s="320"/>
      <c r="H5" s="320"/>
      <c r="I5" s="320"/>
      <c r="J5" s="321"/>
      <c r="K5" s="10"/>
      <c r="L5" s="37" t="s">
        <v>76</v>
      </c>
      <c r="M5" s="10"/>
      <c r="N5" s="96" t="s">
        <v>79</v>
      </c>
      <c r="O5" s="311" t="s">
        <v>102</v>
      </c>
      <c r="P5" s="311"/>
      <c r="Q5" s="312"/>
      <c r="R5" s="15"/>
      <c r="S5" s="15"/>
      <c r="U5" s="15"/>
      <c r="V5" s="15"/>
      <c r="W5" s="16"/>
      <c r="X5" s="16"/>
    </row>
    <row r="6" spans="2:24" ht="18" x14ac:dyDescent="0.25">
      <c r="B6" s="65" t="s">
        <v>54</v>
      </c>
      <c r="C6" s="66"/>
      <c r="D6" s="29"/>
      <c r="E6" s="308" t="s">
        <v>63</v>
      </c>
      <c r="F6" s="309"/>
      <c r="G6" s="309"/>
      <c r="H6" s="309"/>
      <c r="I6" s="309"/>
      <c r="J6" s="310"/>
      <c r="K6" s="10"/>
      <c r="L6" s="40" t="s">
        <v>77</v>
      </c>
      <c r="M6" s="10"/>
      <c r="N6" s="10"/>
      <c r="O6" s="311"/>
      <c r="P6" s="311"/>
      <c r="Q6" s="312"/>
      <c r="R6" s="15"/>
      <c r="S6" s="15"/>
      <c r="U6" s="15"/>
      <c r="V6" s="15"/>
      <c r="W6" s="16"/>
      <c r="X6" s="16"/>
    </row>
    <row r="7" spans="2:24" ht="18" customHeight="1" x14ac:dyDescent="0.25">
      <c r="B7" s="65" t="s">
        <v>56</v>
      </c>
      <c r="C7" s="66"/>
      <c r="D7" s="29"/>
      <c r="E7" s="319"/>
      <c r="F7" s="320"/>
      <c r="G7" s="320"/>
      <c r="H7" s="320"/>
      <c r="I7" s="320"/>
      <c r="J7" s="321"/>
      <c r="K7" s="10"/>
      <c r="L7" s="40" t="s">
        <v>82</v>
      </c>
      <c r="M7" s="10"/>
      <c r="N7" s="97" t="s">
        <v>81</v>
      </c>
      <c r="O7" s="311" t="s">
        <v>102</v>
      </c>
      <c r="P7" s="311"/>
      <c r="Q7" s="312"/>
      <c r="R7" s="15"/>
      <c r="S7" s="15"/>
      <c r="U7" s="15"/>
      <c r="V7" s="15"/>
      <c r="W7" s="16"/>
      <c r="X7" s="16"/>
    </row>
    <row r="8" spans="2:24" ht="18" customHeight="1" x14ac:dyDescent="0.25">
      <c r="B8" s="65" t="s">
        <v>53</v>
      </c>
      <c r="C8" s="67"/>
      <c r="D8" s="30"/>
      <c r="E8" s="308" t="s">
        <v>67</v>
      </c>
      <c r="F8" s="309"/>
      <c r="G8" s="309"/>
      <c r="H8" s="309"/>
      <c r="I8" s="309"/>
      <c r="J8" s="310"/>
      <c r="K8" s="10"/>
      <c r="L8" s="37"/>
      <c r="M8" s="10"/>
      <c r="N8" s="96" t="s">
        <v>83</v>
      </c>
      <c r="O8" s="311" t="s">
        <v>102</v>
      </c>
      <c r="P8" s="311"/>
      <c r="Q8" s="312"/>
      <c r="R8" s="15"/>
      <c r="S8" s="15"/>
      <c r="U8" s="15"/>
      <c r="V8" s="15"/>
      <c r="W8" s="16"/>
      <c r="X8" s="16"/>
    </row>
    <row r="9" spans="2:24" ht="18.75" customHeight="1" x14ac:dyDescent="0.25">
      <c r="B9" s="65" t="s">
        <v>55</v>
      </c>
      <c r="C9" s="67"/>
      <c r="D9" s="30"/>
      <c r="E9" s="319"/>
      <c r="F9" s="320"/>
      <c r="G9" s="320"/>
      <c r="H9" s="320"/>
      <c r="I9" s="320"/>
      <c r="J9" s="321"/>
      <c r="K9" s="10"/>
      <c r="L9" s="37" t="s">
        <v>84</v>
      </c>
      <c r="M9" s="10"/>
      <c r="N9" s="24"/>
      <c r="O9" s="311"/>
      <c r="P9" s="311"/>
      <c r="Q9" s="312"/>
      <c r="R9" s="16"/>
      <c r="S9" s="16"/>
      <c r="U9" s="16"/>
      <c r="V9" s="16"/>
      <c r="W9" s="16"/>
      <c r="X9" s="16"/>
    </row>
    <row r="10" spans="2:24" ht="18" customHeight="1" x14ac:dyDescent="0.25">
      <c r="B10" s="70" t="s">
        <v>87</v>
      </c>
      <c r="C10" s="68"/>
      <c r="D10" s="23"/>
      <c r="E10" s="308" t="s">
        <v>68</v>
      </c>
      <c r="F10" s="309"/>
      <c r="G10" s="309"/>
      <c r="H10" s="309"/>
      <c r="I10" s="309"/>
      <c r="J10" s="310"/>
      <c r="K10" s="10"/>
      <c r="L10" s="37" t="s">
        <v>85</v>
      </c>
      <c r="M10" s="10"/>
      <c r="N10" s="24"/>
      <c r="O10" s="311"/>
      <c r="P10" s="311"/>
      <c r="Q10" s="312"/>
    </row>
    <row r="11" spans="2:24" ht="18.75" customHeight="1" x14ac:dyDescent="0.25">
      <c r="B11" s="70" t="s">
        <v>22</v>
      </c>
      <c r="C11" s="68"/>
      <c r="D11" s="28"/>
      <c r="E11" s="319"/>
      <c r="F11" s="320"/>
      <c r="G11" s="320"/>
      <c r="H11" s="320"/>
      <c r="I11" s="320"/>
      <c r="J11" s="321"/>
      <c r="K11" s="10"/>
      <c r="L11" s="37" t="s">
        <v>26</v>
      </c>
      <c r="M11" s="10"/>
      <c r="N11" s="24"/>
      <c r="O11" s="311" t="s">
        <v>102</v>
      </c>
      <c r="P11" s="311"/>
      <c r="Q11" s="312"/>
    </row>
    <row r="12" spans="2:24" ht="18.75" customHeight="1" x14ac:dyDescent="0.25">
      <c r="B12" s="65" t="s">
        <v>21</v>
      </c>
      <c r="C12" s="69"/>
      <c r="D12" s="29"/>
      <c r="E12" s="322" t="s">
        <v>101</v>
      </c>
      <c r="F12" s="323"/>
      <c r="G12" s="323"/>
      <c r="H12" s="323"/>
      <c r="I12" s="323"/>
      <c r="J12" s="324"/>
      <c r="K12" s="10"/>
      <c r="L12" s="37" t="s">
        <v>27</v>
      </c>
      <c r="M12" s="10"/>
      <c r="N12" s="24"/>
      <c r="O12" s="311"/>
      <c r="P12" s="311"/>
      <c r="Q12" s="312"/>
    </row>
    <row r="13" spans="2:24" ht="18" customHeight="1" x14ac:dyDescent="0.25">
      <c r="B13" s="70" t="s">
        <v>97</v>
      </c>
      <c r="C13" s="66"/>
      <c r="D13" s="31"/>
      <c r="E13" s="327"/>
      <c r="F13" s="309"/>
      <c r="G13" s="309"/>
      <c r="H13" s="309"/>
      <c r="I13" s="309"/>
      <c r="J13" s="310"/>
      <c r="K13" s="10"/>
      <c r="L13" s="37" t="s">
        <v>18</v>
      </c>
      <c r="M13" s="10"/>
      <c r="N13" s="24"/>
      <c r="O13" s="311"/>
      <c r="P13" s="311"/>
      <c r="Q13" s="312"/>
    </row>
    <row r="14" spans="2:24" ht="18" customHeight="1" x14ac:dyDescent="0.25">
      <c r="B14" s="70" t="s">
        <v>98</v>
      </c>
      <c r="C14" s="67"/>
      <c r="D14" s="32"/>
      <c r="E14" s="328"/>
      <c r="F14" s="329"/>
      <c r="G14" s="329"/>
      <c r="H14" s="329"/>
      <c r="I14" s="329"/>
      <c r="J14" s="330"/>
      <c r="K14" s="10"/>
      <c r="L14" s="37" t="s">
        <v>17</v>
      </c>
      <c r="M14" s="10"/>
      <c r="N14" s="24"/>
      <c r="O14" s="334"/>
      <c r="P14" s="334"/>
      <c r="Q14" s="335"/>
    </row>
    <row r="15" spans="2:24" ht="18" x14ac:dyDescent="0.25">
      <c r="B15" s="165"/>
      <c r="C15" s="71"/>
      <c r="D15" s="33"/>
      <c r="E15" s="328"/>
      <c r="F15" s="329"/>
      <c r="G15" s="329"/>
      <c r="H15" s="329"/>
      <c r="I15" s="329"/>
      <c r="J15" s="330"/>
      <c r="K15" s="10"/>
      <c r="L15" s="102" t="s">
        <v>59</v>
      </c>
      <c r="M15" s="104"/>
      <c r="N15" s="104"/>
      <c r="O15" s="104"/>
      <c r="P15" s="104"/>
      <c r="Q15" s="105"/>
    </row>
    <row r="16" spans="2:24" ht="18" customHeight="1" x14ac:dyDescent="0.25">
      <c r="B16" s="63" t="s">
        <v>57</v>
      </c>
      <c r="C16" s="72"/>
      <c r="D16" s="32"/>
      <c r="E16" s="328"/>
      <c r="F16" s="329"/>
      <c r="G16" s="329"/>
      <c r="H16" s="329"/>
      <c r="I16" s="329"/>
      <c r="J16" s="330"/>
      <c r="K16" s="10"/>
      <c r="L16" s="37" t="s">
        <v>61</v>
      </c>
      <c r="M16" s="10"/>
      <c r="N16" s="24"/>
      <c r="O16" s="317" t="s">
        <v>103</v>
      </c>
      <c r="P16" s="317"/>
      <c r="Q16" s="318"/>
    </row>
    <row r="17" spans="2:20" ht="18" x14ac:dyDescent="0.25">
      <c r="B17" s="70" t="s">
        <v>23</v>
      </c>
      <c r="C17" s="73"/>
      <c r="D17" s="32"/>
      <c r="E17" s="328"/>
      <c r="F17" s="329"/>
      <c r="G17" s="329"/>
      <c r="H17" s="329"/>
      <c r="I17" s="329"/>
      <c r="J17" s="330"/>
      <c r="K17" s="10"/>
      <c r="L17" s="37" t="s">
        <v>78</v>
      </c>
      <c r="M17" s="10"/>
      <c r="N17" s="24"/>
      <c r="O17" s="311" t="s">
        <v>72</v>
      </c>
      <c r="P17" s="311"/>
      <c r="Q17" s="312"/>
    </row>
    <row r="18" spans="2:20" ht="18.75" customHeight="1" thickBot="1" x14ac:dyDescent="0.3">
      <c r="B18" s="74" t="s">
        <v>86</v>
      </c>
      <c r="C18" s="75"/>
      <c r="D18" s="32"/>
      <c r="E18" s="331"/>
      <c r="F18" s="332"/>
      <c r="G18" s="332"/>
      <c r="H18" s="332"/>
      <c r="I18" s="332"/>
      <c r="J18" s="333"/>
      <c r="K18" s="10"/>
      <c r="L18" s="41" t="s">
        <v>25</v>
      </c>
      <c r="M18" s="2"/>
      <c r="N18" s="42"/>
      <c r="O18" s="336" t="s">
        <v>104</v>
      </c>
      <c r="P18" s="336"/>
      <c r="Q18" s="337"/>
    </row>
    <row r="19" spans="2:20" ht="18.75" thickBot="1" x14ac:dyDescent="0.3">
      <c r="B19" s="1"/>
      <c r="C19" s="1"/>
      <c r="D19" s="1"/>
      <c r="E19" s="1"/>
      <c r="L19" s="36"/>
      <c r="M19" s="10"/>
      <c r="N19" s="24"/>
      <c r="O19" s="10"/>
      <c r="P19" s="10"/>
      <c r="Q19" s="10"/>
    </row>
    <row r="20" spans="2:20" ht="30" customHeight="1" x14ac:dyDescent="0.2">
      <c r="B20" s="338" t="s">
        <v>33</v>
      </c>
      <c r="C20" s="340" t="s">
        <v>31</v>
      </c>
      <c r="D20" s="340" t="s">
        <v>30</v>
      </c>
      <c r="E20" s="340" t="s">
        <v>131</v>
      </c>
      <c r="F20" s="340" t="s">
        <v>69</v>
      </c>
      <c r="G20" s="134" t="s">
        <v>12</v>
      </c>
      <c r="H20" s="135"/>
      <c r="I20" s="136"/>
      <c r="J20" s="134" t="s">
        <v>8</v>
      </c>
      <c r="K20" s="137"/>
      <c r="L20" s="135"/>
      <c r="M20" s="136"/>
      <c r="N20" s="134" t="s">
        <v>32</v>
      </c>
      <c r="O20" s="135"/>
      <c r="P20" s="135"/>
      <c r="Q20" s="128"/>
    </row>
    <row r="21" spans="2:20" ht="25.5" x14ac:dyDescent="0.2">
      <c r="B21" s="339"/>
      <c r="C21" s="341"/>
      <c r="D21" s="341"/>
      <c r="E21" s="341"/>
      <c r="F21" s="341"/>
      <c r="G21" s="216" t="s">
        <v>0</v>
      </c>
      <c r="H21" s="215" t="s">
        <v>5</v>
      </c>
      <c r="I21" s="129"/>
      <c r="J21" s="216" t="s">
        <v>0</v>
      </c>
      <c r="K21" s="215"/>
      <c r="L21" s="217" t="s">
        <v>5</v>
      </c>
      <c r="M21" s="129"/>
      <c r="N21" s="216" t="s">
        <v>0</v>
      </c>
      <c r="O21" s="215" t="s">
        <v>5</v>
      </c>
      <c r="P21" s="130"/>
      <c r="Q21" s="131" t="s">
        <v>3</v>
      </c>
      <c r="R21" s="325" t="s">
        <v>108</v>
      </c>
      <c r="S21" s="326"/>
      <c r="T21" s="326"/>
    </row>
    <row r="22" spans="2:20" ht="21" customHeight="1" x14ac:dyDescent="0.25">
      <c r="B22" s="17" t="s">
        <v>110</v>
      </c>
      <c r="C22" s="20"/>
      <c r="D22" s="20"/>
      <c r="E22" s="82"/>
      <c r="F22" s="86"/>
      <c r="G22" s="132" t="s">
        <v>2</v>
      </c>
      <c r="H22" s="132" t="s">
        <v>105</v>
      </c>
      <c r="I22" s="133" t="s">
        <v>4</v>
      </c>
      <c r="J22" s="132" t="s">
        <v>2</v>
      </c>
      <c r="K22" s="132"/>
      <c r="L22" s="132" t="s">
        <v>105</v>
      </c>
      <c r="M22" s="133" t="s">
        <v>6</v>
      </c>
      <c r="N22" s="132" t="s">
        <v>2</v>
      </c>
      <c r="O22" s="132" t="s">
        <v>105</v>
      </c>
      <c r="P22" s="132" t="s">
        <v>6</v>
      </c>
      <c r="Q22" s="131" t="s">
        <v>1</v>
      </c>
      <c r="R22" s="325"/>
      <c r="S22" s="326"/>
      <c r="T22" s="326"/>
    </row>
    <row r="23" spans="2:20" ht="15" customHeight="1" x14ac:dyDescent="0.2">
      <c r="B23" s="246"/>
      <c r="C23" s="248"/>
      <c r="D23" s="248"/>
      <c r="E23" s="250"/>
      <c r="F23" s="251"/>
      <c r="G23" s="25"/>
      <c r="H23" s="166"/>
      <c r="I23" s="223">
        <f>H23*G23</f>
        <v>0</v>
      </c>
      <c r="J23" s="256"/>
      <c r="K23" s="27"/>
      <c r="L23" s="166"/>
      <c r="M23" s="223">
        <f t="shared" ref="M23:M37" si="0">L23*J23</f>
        <v>0</v>
      </c>
      <c r="N23" s="25"/>
      <c r="O23" s="166"/>
      <c r="P23" s="223">
        <f>O23*N23</f>
        <v>0</v>
      </c>
      <c r="Q23" s="169">
        <f t="shared" ref="Q23:Q37" si="1">SUM(I23,M23,P23)</f>
        <v>0</v>
      </c>
    </row>
    <row r="24" spans="2:20" ht="15" customHeight="1" x14ac:dyDescent="0.2">
      <c r="B24" s="247"/>
      <c r="C24" s="249"/>
      <c r="D24" s="249"/>
      <c r="E24" s="252"/>
      <c r="F24" s="253"/>
      <c r="G24" s="255"/>
      <c r="H24" s="167"/>
      <c r="I24" s="224">
        <f>H24*G24</f>
        <v>0</v>
      </c>
      <c r="J24" s="206"/>
      <c r="K24" s="206"/>
      <c r="L24" s="167"/>
      <c r="M24" s="224">
        <f t="shared" si="0"/>
        <v>0</v>
      </c>
      <c r="N24" s="206"/>
      <c r="O24" s="167"/>
      <c r="P24" s="224">
        <f>O24*N24</f>
        <v>0</v>
      </c>
      <c r="Q24" s="170">
        <f t="shared" si="1"/>
        <v>0</v>
      </c>
    </row>
    <row r="25" spans="2:20" ht="15" customHeight="1" x14ac:dyDescent="0.2">
      <c r="B25" s="247"/>
      <c r="C25" s="249"/>
      <c r="D25" s="249"/>
      <c r="E25" s="254"/>
      <c r="F25" s="253"/>
      <c r="G25" s="255"/>
      <c r="H25" s="167"/>
      <c r="I25" s="224">
        <f t="shared" ref="I25:I37" si="2">H25*G25</f>
        <v>0</v>
      </c>
      <c r="J25" s="206"/>
      <c r="K25" s="206"/>
      <c r="L25" s="167"/>
      <c r="M25" s="224">
        <f t="shared" si="0"/>
        <v>0</v>
      </c>
      <c r="N25" s="206"/>
      <c r="O25" s="167"/>
      <c r="P25" s="224">
        <f t="shared" ref="P25:P37" si="3">O25*N25</f>
        <v>0</v>
      </c>
      <c r="Q25" s="170">
        <f t="shared" si="1"/>
        <v>0</v>
      </c>
    </row>
    <row r="26" spans="2:20" ht="15" customHeight="1" x14ac:dyDescent="0.2">
      <c r="B26" s="247"/>
      <c r="C26" s="34"/>
      <c r="D26" s="34"/>
      <c r="E26" s="83"/>
      <c r="F26" s="87"/>
      <c r="G26" s="206"/>
      <c r="H26" s="167"/>
      <c r="I26" s="224">
        <f t="shared" si="2"/>
        <v>0</v>
      </c>
      <c r="J26" s="206"/>
      <c r="K26" s="206"/>
      <c r="L26" s="167"/>
      <c r="M26" s="224">
        <f t="shared" si="0"/>
        <v>0</v>
      </c>
      <c r="N26" s="206"/>
      <c r="O26" s="167"/>
      <c r="P26" s="224">
        <f t="shared" si="3"/>
        <v>0</v>
      </c>
      <c r="Q26" s="170">
        <f t="shared" si="1"/>
        <v>0</v>
      </c>
    </row>
    <row r="27" spans="2:20" ht="15" customHeight="1" x14ac:dyDescent="0.2">
      <c r="B27" s="247"/>
      <c r="C27" s="34"/>
      <c r="D27" s="34"/>
      <c r="E27" s="83"/>
      <c r="F27" s="87"/>
      <c r="G27" s="61"/>
      <c r="H27" s="167"/>
      <c r="I27" s="224">
        <f>H27*G27</f>
        <v>0</v>
      </c>
      <c r="J27" s="206"/>
      <c r="K27" s="206"/>
      <c r="L27" s="167"/>
      <c r="M27" s="224">
        <f>L27*J27</f>
        <v>0</v>
      </c>
      <c r="N27" s="206"/>
      <c r="O27" s="167"/>
      <c r="P27" s="224">
        <f>O27*N27</f>
        <v>0</v>
      </c>
      <c r="Q27" s="170">
        <f>SUM(I27,M27,P27)</f>
        <v>0</v>
      </c>
    </row>
    <row r="28" spans="2:20" ht="15" customHeight="1" x14ac:dyDescent="0.2">
      <c r="B28" s="247"/>
      <c r="C28" s="34"/>
      <c r="D28" s="34"/>
      <c r="E28" s="83"/>
      <c r="F28" s="87"/>
      <c r="G28" s="206"/>
      <c r="H28" s="167"/>
      <c r="I28" s="224">
        <f>H28*G28</f>
        <v>0</v>
      </c>
      <c r="J28" s="206"/>
      <c r="K28" s="206"/>
      <c r="L28" s="167"/>
      <c r="M28" s="224">
        <f>L28*J28</f>
        <v>0</v>
      </c>
      <c r="N28" s="206"/>
      <c r="O28" s="167"/>
      <c r="P28" s="224">
        <f>O28*N28</f>
        <v>0</v>
      </c>
      <c r="Q28" s="170">
        <f>SUM(I28,M28,P28)</f>
        <v>0</v>
      </c>
    </row>
    <row r="29" spans="2:20" ht="15" customHeight="1" x14ac:dyDescent="0.2">
      <c r="B29" s="247"/>
      <c r="C29" s="34"/>
      <c r="D29" s="34"/>
      <c r="E29" s="83"/>
      <c r="F29" s="87"/>
      <c r="G29" s="206"/>
      <c r="H29" s="167"/>
      <c r="I29" s="224">
        <f>H29*G29</f>
        <v>0</v>
      </c>
      <c r="J29" s="206"/>
      <c r="K29" s="206"/>
      <c r="L29" s="167"/>
      <c r="M29" s="224">
        <f>L29*J29</f>
        <v>0</v>
      </c>
      <c r="N29" s="206"/>
      <c r="O29" s="167"/>
      <c r="P29" s="224">
        <f>O29*N29</f>
        <v>0</v>
      </c>
      <c r="Q29" s="170">
        <f>SUM(I29,M29,P29)</f>
        <v>0</v>
      </c>
    </row>
    <row r="30" spans="2:20" ht="15" customHeight="1" x14ac:dyDescent="0.2">
      <c r="B30" s="26"/>
      <c r="C30" s="34"/>
      <c r="D30" s="34"/>
      <c r="E30" s="83"/>
      <c r="F30" s="87"/>
      <c r="G30" s="206"/>
      <c r="H30" s="167"/>
      <c r="I30" s="224">
        <f>H30*G30</f>
        <v>0</v>
      </c>
      <c r="J30" s="206"/>
      <c r="K30" s="206"/>
      <c r="L30" s="167"/>
      <c r="M30" s="224">
        <f>L30*J30</f>
        <v>0</v>
      </c>
      <c r="N30" s="206"/>
      <c r="O30" s="167"/>
      <c r="P30" s="224">
        <f>O30*N30</f>
        <v>0</v>
      </c>
      <c r="Q30" s="170">
        <f>SUM(I30,M30,P30)</f>
        <v>0</v>
      </c>
    </row>
    <row r="31" spans="2:20" ht="15" customHeight="1" x14ac:dyDescent="0.2">
      <c r="B31" s="26"/>
      <c r="C31" s="34"/>
      <c r="D31" s="34"/>
      <c r="E31" s="83"/>
      <c r="F31" s="87"/>
      <c r="G31" s="206"/>
      <c r="H31" s="167"/>
      <c r="I31" s="224">
        <f>H31*G31</f>
        <v>0</v>
      </c>
      <c r="J31" s="206"/>
      <c r="K31" s="206"/>
      <c r="L31" s="167"/>
      <c r="M31" s="224">
        <f>L31*J31</f>
        <v>0</v>
      </c>
      <c r="N31" s="206"/>
      <c r="O31" s="167"/>
      <c r="P31" s="224">
        <f>O31*N31</f>
        <v>0</v>
      </c>
      <c r="Q31" s="170">
        <f>SUM(I31,M31,P31)</f>
        <v>0</v>
      </c>
    </row>
    <row r="32" spans="2:20" ht="15" customHeight="1" x14ac:dyDescent="0.2">
      <c r="B32" s="26"/>
      <c r="C32" s="34"/>
      <c r="D32" s="34"/>
      <c r="E32" s="83"/>
      <c r="F32" s="87"/>
      <c r="G32" s="206"/>
      <c r="H32" s="167"/>
      <c r="I32" s="224">
        <f t="shared" si="2"/>
        <v>0</v>
      </c>
      <c r="J32" s="206"/>
      <c r="K32" s="206"/>
      <c r="L32" s="167"/>
      <c r="M32" s="224">
        <f t="shared" si="0"/>
        <v>0</v>
      </c>
      <c r="N32" s="206"/>
      <c r="O32" s="167"/>
      <c r="P32" s="224">
        <f t="shared" si="3"/>
        <v>0</v>
      </c>
      <c r="Q32" s="170">
        <f t="shared" si="1"/>
        <v>0</v>
      </c>
    </row>
    <row r="33" spans="2:19" ht="15" customHeight="1" x14ac:dyDescent="0.2">
      <c r="B33" s="26"/>
      <c r="C33" s="34"/>
      <c r="D33" s="34"/>
      <c r="E33" s="83"/>
      <c r="F33" s="87"/>
      <c r="G33" s="206"/>
      <c r="H33" s="167"/>
      <c r="I33" s="224">
        <f t="shared" si="2"/>
        <v>0</v>
      </c>
      <c r="J33" s="206"/>
      <c r="K33" s="206"/>
      <c r="L33" s="167"/>
      <c r="M33" s="224">
        <f t="shared" si="0"/>
        <v>0</v>
      </c>
      <c r="N33" s="206"/>
      <c r="O33" s="167"/>
      <c r="P33" s="224">
        <f t="shared" si="3"/>
        <v>0</v>
      </c>
      <c r="Q33" s="170">
        <f t="shared" si="1"/>
        <v>0</v>
      </c>
    </row>
    <row r="34" spans="2:19" ht="15" customHeight="1" x14ac:dyDescent="0.2">
      <c r="B34" s="26"/>
      <c r="C34" s="34"/>
      <c r="D34" s="34"/>
      <c r="E34" s="83"/>
      <c r="F34" s="87"/>
      <c r="G34" s="206"/>
      <c r="H34" s="167"/>
      <c r="I34" s="224">
        <f t="shared" si="2"/>
        <v>0</v>
      </c>
      <c r="J34" s="206"/>
      <c r="K34" s="206"/>
      <c r="L34" s="167"/>
      <c r="M34" s="224">
        <f t="shared" si="0"/>
        <v>0</v>
      </c>
      <c r="N34" s="206"/>
      <c r="O34" s="167"/>
      <c r="P34" s="224">
        <f t="shared" si="3"/>
        <v>0</v>
      </c>
      <c r="Q34" s="170">
        <f t="shared" si="1"/>
        <v>0</v>
      </c>
    </row>
    <row r="35" spans="2:19" ht="15" customHeight="1" x14ac:dyDescent="0.2">
      <c r="B35" s="26"/>
      <c r="C35" s="34"/>
      <c r="D35" s="34"/>
      <c r="E35" s="83"/>
      <c r="F35" s="87"/>
      <c r="G35" s="206"/>
      <c r="H35" s="167"/>
      <c r="I35" s="224">
        <f t="shared" si="2"/>
        <v>0</v>
      </c>
      <c r="J35" s="206"/>
      <c r="K35" s="206"/>
      <c r="L35" s="167"/>
      <c r="M35" s="224">
        <f t="shared" si="0"/>
        <v>0</v>
      </c>
      <c r="N35" s="206"/>
      <c r="O35" s="167"/>
      <c r="P35" s="224">
        <f t="shared" si="3"/>
        <v>0</v>
      </c>
      <c r="Q35" s="170">
        <f t="shared" si="1"/>
        <v>0</v>
      </c>
    </row>
    <row r="36" spans="2:19" ht="15" customHeight="1" x14ac:dyDescent="0.2">
      <c r="B36" s="26"/>
      <c r="C36" s="34"/>
      <c r="D36" s="34"/>
      <c r="E36" s="83"/>
      <c r="F36" s="87"/>
      <c r="G36" s="206"/>
      <c r="H36" s="167"/>
      <c r="I36" s="224">
        <f t="shared" si="2"/>
        <v>0</v>
      </c>
      <c r="J36" s="206"/>
      <c r="K36" s="206"/>
      <c r="L36" s="167"/>
      <c r="M36" s="224">
        <f t="shared" si="0"/>
        <v>0</v>
      </c>
      <c r="N36" s="206"/>
      <c r="O36" s="167"/>
      <c r="P36" s="224">
        <f t="shared" si="3"/>
        <v>0</v>
      </c>
      <c r="Q36" s="170">
        <f t="shared" si="1"/>
        <v>0</v>
      </c>
    </row>
    <row r="37" spans="2:19" ht="15" customHeight="1" x14ac:dyDescent="0.2">
      <c r="B37" s="26"/>
      <c r="C37" s="34"/>
      <c r="D37" s="34"/>
      <c r="E37" s="84"/>
      <c r="F37" s="88"/>
      <c r="G37" s="206"/>
      <c r="H37" s="167"/>
      <c r="I37" s="224">
        <f t="shared" si="2"/>
        <v>0</v>
      </c>
      <c r="J37" s="206"/>
      <c r="K37" s="206"/>
      <c r="L37" s="167"/>
      <c r="M37" s="224">
        <f t="shared" si="0"/>
        <v>0</v>
      </c>
      <c r="N37" s="206"/>
      <c r="O37" s="167"/>
      <c r="P37" s="224">
        <f t="shared" si="3"/>
        <v>0</v>
      </c>
      <c r="Q37" s="170">
        <f t="shared" si="1"/>
        <v>0</v>
      </c>
    </row>
    <row r="38" spans="2:19" ht="15" customHeight="1" thickBot="1" x14ac:dyDescent="0.25">
      <c r="B38" s="12" t="s">
        <v>3</v>
      </c>
      <c r="C38" s="211"/>
      <c r="D38" s="211"/>
      <c r="E38" s="85"/>
      <c r="F38" s="89"/>
      <c r="G38" s="3">
        <f>SUM(G23:G37)</f>
        <v>0</v>
      </c>
      <c r="H38" s="168"/>
      <c r="I38" s="225">
        <f>SUM(I23:I37)</f>
        <v>0</v>
      </c>
      <c r="J38" s="3">
        <f>SUM(J23:J37)</f>
        <v>0</v>
      </c>
      <c r="K38" s="3"/>
      <c r="L38" s="168"/>
      <c r="M38" s="225">
        <f>SUM(M23:M37)</f>
        <v>0</v>
      </c>
      <c r="N38" s="3">
        <f>SUM(N23:N37)</f>
        <v>0</v>
      </c>
      <c r="O38" s="168"/>
      <c r="P38" s="225">
        <f>SUM(P23:P37)</f>
        <v>0</v>
      </c>
      <c r="Q38" s="218">
        <f>SUM(Q23:Q37)</f>
        <v>0</v>
      </c>
    </row>
    <row r="39" spans="2:19" ht="56.25" customHeight="1" thickBot="1" x14ac:dyDescent="0.25">
      <c r="B39" s="13"/>
      <c r="C39" s="18"/>
      <c r="D39" s="18"/>
      <c r="E39" s="18"/>
      <c r="F39" s="4"/>
      <c r="G39" s="5"/>
      <c r="H39" s="6"/>
      <c r="I39" s="4"/>
      <c r="J39" s="5"/>
      <c r="K39" s="5"/>
      <c r="L39" s="6"/>
      <c r="M39" s="4"/>
      <c r="N39" s="7"/>
      <c r="O39" s="6"/>
      <c r="P39" s="8"/>
      <c r="Q39" s="8"/>
      <c r="R39" s="8"/>
      <c r="S39" s="9"/>
    </row>
    <row r="40" spans="2:19" ht="15" customHeight="1" x14ac:dyDescent="0.25">
      <c r="B40" s="114" t="s">
        <v>93</v>
      </c>
      <c r="C40" s="115" t="s">
        <v>65</v>
      </c>
      <c r="D40" s="115" t="s">
        <v>66</v>
      </c>
      <c r="E40" s="116"/>
      <c r="F40" s="116"/>
      <c r="G40" s="116"/>
      <c r="H40" s="117"/>
      <c r="I40" s="35"/>
      <c r="J40" s="106" t="s">
        <v>64</v>
      </c>
      <c r="K40" s="107"/>
      <c r="L40" s="107"/>
      <c r="M40" s="107"/>
      <c r="N40" s="107"/>
      <c r="O40" s="107"/>
      <c r="P40" s="107"/>
      <c r="Q40" s="108"/>
    </row>
    <row r="41" spans="2:19" ht="15" customHeight="1" x14ac:dyDescent="0.25">
      <c r="B41" s="348"/>
      <c r="C41" s="350"/>
      <c r="D41" s="350"/>
      <c r="E41" s="119" t="s">
        <v>24</v>
      </c>
      <c r="F41" s="119" t="s">
        <v>9</v>
      </c>
      <c r="G41" s="119" t="s">
        <v>1</v>
      </c>
      <c r="H41" s="120"/>
      <c r="I41" s="19"/>
      <c r="J41" s="45"/>
      <c r="K41" s="164" t="s">
        <v>73</v>
      </c>
      <c r="L41" s="125"/>
      <c r="M41" s="125"/>
      <c r="N41" s="126"/>
      <c r="O41" s="126"/>
      <c r="P41" s="126"/>
      <c r="Q41" s="46"/>
      <c r="R41" s="8"/>
      <c r="S41" s="9"/>
    </row>
    <row r="42" spans="2:19" ht="23.25" customHeight="1" x14ac:dyDescent="0.25">
      <c r="B42" s="349"/>
      <c r="C42" s="351"/>
      <c r="D42" s="351"/>
      <c r="E42" s="121" t="s">
        <v>13</v>
      </c>
      <c r="F42" s="121" t="s">
        <v>10</v>
      </c>
      <c r="G42" s="121" t="s">
        <v>11</v>
      </c>
      <c r="H42" s="122" t="s">
        <v>1</v>
      </c>
      <c r="J42" s="163" t="s">
        <v>94</v>
      </c>
      <c r="K42" s="14"/>
      <c r="L42" s="14"/>
      <c r="M42" s="127" t="s">
        <v>20</v>
      </c>
      <c r="N42" s="44"/>
      <c r="O42" s="95" t="s">
        <v>71</v>
      </c>
      <c r="P42" s="95" t="s">
        <v>106</v>
      </c>
      <c r="Q42" s="11" t="s">
        <v>1</v>
      </c>
    </row>
    <row r="43" spans="2:19" ht="15" customHeight="1" x14ac:dyDescent="0.2">
      <c r="B43" s="352"/>
      <c r="C43" s="353"/>
      <c r="D43" s="354"/>
      <c r="E43" s="94"/>
      <c r="F43" s="220"/>
      <c r="G43" s="236"/>
      <c r="H43" s="237">
        <f t="shared" ref="H43:H52" si="4">G43*F43</f>
        <v>0</v>
      </c>
      <c r="J43" s="355"/>
      <c r="K43" s="356"/>
      <c r="L43" s="357"/>
      <c r="M43" s="194"/>
      <c r="N43" s="175"/>
      <c r="O43" s="220"/>
      <c r="P43" s="226"/>
      <c r="Q43" s="227">
        <f t="shared" ref="Q43:Q44" si="5">P43*O43</f>
        <v>0</v>
      </c>
    </row>
    <row r="44" spans="2:19" s="10" customFormat="1" ht="15" customHeight="1" x14ac:dyDescent="0.2">
      <c r="B44" s="358"/>
      <c r="C44" s="359"/>
      <c r="D44" s="360"/>
      <c r="E44" s="139"/>
      <c r="F44" s="221"/>
      <c r="G44" s="238"/>
      <c r="H44" s="233">
        <f t="shared" si="4"/>
        <v>0</v>
      </c>
      <c r="I44"/>
      <c r="J44" s="361"/>
      <c r="K44" s="362"/>
      <c r="L44" s="363"/>
      <c r="M44" s="176"/>
      <c r="N44" s="177"/>
      <c r="O44" s="173"/>
      <c r="P44" s="228"/>
      <c r="Q44" s="229">
        <f t="shared" si="5"/>
        <v>0</v>
      </c>
    </row>
    <row r="45" spans="2:19" s="10" customFormat="1" ht="15" customHeight="1" x14ac:dyDescent="0.25">
      <c r="B45" s="364" t="s">
        <v>88</v>
      </c>
      <c r="C45" s="365"/>
      <c r="D45" s="366"/>
      <c r="E45" s="138"/>
      <c r="F45" s="172"/>
      <c r="G45" s="239"/>
      <c r="H45" s="240">
        <f>SUM(H43:H44)</f>
        <v>0</v>
      </c>
      <c r="I45"/>
      <c r="J45" s="163" t="s">
        <v>95</v>
      </c>
      <c r="K45" s="14"/>
      <c r="L45" s="14"/>
      <c r="M45" s="178" t="s">
        <v>20</v>
      </c>
      <c r="N45" s="179"/>
      <c r="O45" s="180" t="s">
        <v>71</v>
      </c>
      <c r="P45" s="230" t="s">
        <v>106</v>
      </c>
      <c r="Q45" s="231" t="s">
        <v>1</v>
      </c>
    </row>
    <row r="46" spans="2:19" s="10" customFormat="1" ht="15" customHeight="1" x14ac:dyDescent="0.2">
      <c r="B46" s="367"/>
      <c r="C46" s="343"/>
      <c r="D46" s="344"/>
      <c r="E46" s="207"/>
      <c r="F46" s="173"/>
      <c r="G46" s="241"/>
      <c r="H46" s="242">
        <f t="shared" si="4"/>
        <v>0</v>
      </c>
      <c r="I46"/>
      <c r="J46" s="195"/>
      <c r="K46" s="196"/>
      <c r="L46" s="197"/>
      <c r="M46" s="194"/>
      <c r="N46" s="175"/>
      <c r="O46" s="220"/>
      <c r="P46" s="226"/>
      <c r="Q46" s="227">
        <f t="shared" ref="Q46:Q48" si="6">P46*O46</f>
        <v>0</v>
      </c>
    </row>
    <row r="47" spans="2:19" s="10" customFormat="1" ht="15" customHeight="1" x14ac:dyDescent="0.2">
      <c r="B47" s="358"/>
      <c r="C47" s="359"/>
      <c r="D47" s="360"/>
      <c r="E47" s="139"/>
      <c r="F47" s="171"/>
      <c r="G47" s="238"/>
      <c r="H47" s="233">
        <f t="shared" si="4"/>
        <v>0</v>
      </c>
      <c r="I47"/>
      <c r="J47" s="198"/>
      <c r="K47" s="199"/>
      <c r="L47" s="200"/>
      <c r="M47" s="176"/>
      <c r="N47" s="177"/>
      <c r="O47" s="173"/>
      <c r="P47" s="228"/>
      <c r="Q47" s="229">
        <f t="shared" si="6"/>
        <v>0</v>
      </c>
    </row>
    <row r="48" spans="2:19" s="10" customFormat="1" ht="15" customHeight="1" x14ac:dyDescent="0.2">
      <c r="B48" s="364" t="s">
        <v>89</v>
      </c>
      <c r="C48" s="365"/>
      <c r="D48" s="366"/>
      <c r="E48" s="138"/>
      <c r="F48" s="172"/>
      <c r="G48" s="239"/>
      <c r="H48" s="240">
        <f>SUM(H46:H47)</f>
        <v>0</v>
      </c>
      <c r="I48"/>
      <c r="J48" s="198"/>
      <c r="K48" s="199"/>
      <c r="L48" s="200"/>
      <c r="M48" s="182"/>
      <c r="N48" s="183"/>
      <c r="O48" s="171"/>
      <c r="P48" s="232"/>
      <c r="Q48" s="227">
        <f t="shared" si="6"/>
        <v>0</v>
      </c>
    </row>
    <row r="49" spans="2:19" ht="15" customHeight="1" thickBot="1" x14ac:dyDescent="0.25">
      <c r="B49" s="342"/>
      <c r="C49" s="343"/>
      <c r="D49" s="344"/>
      <c r="E49" s="208"/>
      <c r="F49" s="173"/>
      <c r="G49" s="241"/>
      <c r="H49" s="242">
        <f t="shared" si="4"/>
        <v>0</v>
      </c>
      <c r="J49" s="209" t="s">
        <v>3</v>
      </c>
      <c r="K49" s="210"/>
      <c r="L49" s="210"/>
      <c r="M49" s="345"/>
      <c r="N49" s="346"/>
      <c r="O49" s="346"/>
      <c r="P49" s="347"/>
      <c r="Q49" s="219">
        <f>SUM(Q40:Q48)</f>
        <v>0</v>
      </c>
    </row>
    <row r="50" spans="2:19" ht="15" customHeight="1" x14ac:dyDescent="0.2">
      <c r="B50" s="342"/>
      <c r="C50" s="343"/>
      <c r="D50" s="344"/>
      <c r="E50" s="208"/>
      <c r="F50" s="173"/>
      <c r="G50" s="241"/>
      <c r="H50" s="242">
        <f t="shared" si="4"/>
        <v>0</v>
      </c>
      <c r="J50" s="18"/>
      <c r="K50" s="18"/>
      <c r="L50" s="18"/>
      <c r="M50" s="18"/>
      <c r="N50" s="159"/>
      <c r="O50" s="159"/>
      <c r="P50" s="159"/>
      <c r="Q50" s="184"/>
    </row>
    <row r="51" spans="2:19" ht="15" customHeight="1" thickBot="1" x14ac:dyDescent="0.25">
      <c r="B51" s="342"/>
      <c r="C51" s="343"/>
      <c r="D51" s="344"/>
      <c r="E51" s="208"/>
      <c r="F51" s="173"/>
      <c r="G51" s="241"/>
      <c r="H51" s="242">
        <f t="shared" si="4"/>
        <v>0</v>
      </c>
      <c r="J51" s="368"/>
      <c r="K51" s="369"/>
      <c r="L51" s="369"/>
      <c r="M51" s="152"/>
      <c r="N51" s="153"/>
      <c r="O51" s="154"/>
      <c r="P51" s="155"/>
      <c r="Q51" s="156"/>
    </row>
    <row r="52" spans="2:19" ht="15" customHeight="1" x14ac:dyDescent="0.25">
      <c r="B52" s="358"/>
      <c r="C52" s="359"/>
      <c r="D52" s="360"/>
      <c r="E52" s="139"/>
      <c r="F52" s="171"/>
      <c r="G52" s="238"/>
      <c r="H52" s="233">
        <f t="shared" si="4"/>
        <v>0</v>
      </c>
      <c r="J52" s="212" t="s">
        <v>96</v>
      </c>
      <c r="K52" s="213"/>
      <c r="L52" s="213"/>
      <c r="M52" s="213"/>
      <c r="N52" s="213"/>
      <c r="O52" s="213"/>
      <c r="P52" s="213"/>
      <c r="Q52" s="214"/>
    </row>
    <row r="53" spans="2:19" ht="15" customHeight="1" x14ac:dyDescent="0.25">
      <c r="B53" s="364" t="s">
        <v>90</v>
      </c>
      <c r="C53" s="365"/>
      <c r="D53" s="366"/>
      <c r="E53" s="138"/>
      <c r="F53" s="172"/>
      <c r="G53" s="239"/>
      <c r="H53" s="240">
        <f>SUM(H49:H52)</f>
        <v>0</v>
      </c>
      <c r="J53" s="45"/>
      <c r="K53" s="125" t="s">
        <v>107</v>
      </c>
      <c r="L53" s="157"/>
      <c r="M53" s="125"/>
      <c r="N53" s="126"/>
      <c r="O53" s="126"/>
      <c r="P53" s="126"/>
      <c r="Q53" s="46"/>
    </row>
    <row r="54" spans="2:19" ht="15" customHeight="1" thickBot="1" x14ac:dyDescent="0.3">
      <c r="B54" s="373" t="s">
        <v>3</v>
      </c>
      <c r="C54" s="374"/>
      <c r="D54" s="375"/>
      <c r="E54" s="123"/>
      <c r="F54" s="174"/>
      <c r="G54" s="243"/>
      <c r="H54" s="245">
        <f>SUM(H45,H48,H53)</f>
        <v>0</v>
      </c>
      <c r="J54" s="158"/>
      <c r="K54" s="14"/>
      <c r="L54" s="14"/>
      <c r="M54" s="127"/>
      <c r="N54" s="44"/>
      <c r="O54" s="95"/>
      <c r="P54" s="95"/>
      <c r="Q54" s="11"/>
    </row>
    <row r="55" spans="2:19" ht="15" customHeight="1" x14ac:dyDescent="0.25">
      <c r="G55" s="244"/>
      <c r="H55" s="244"/>
      <c r="J55" s="222" t="s">
        <v>94</v>
      </c>
      <c r="K55" s="185"/>
      <c r="L55" s="185"/>
      <c r="M55" s="178" t="s">
        <v>20</v>
      </c>
      <c r="N55" s="179"/>
      <c r="O55" s="180" t="s">
        <v>71</v>
      </c>
      <c r="P55" s="180" t="s">
        <v>106</v>
      </c>
      <c r="Q55" s="181" t="s">
        <v>1</v>
      </c>
    </row>
    <row r="56" spans="2:19" ht="15" customHeight="1" x14ac:dyDescent="0.25">
      <c r="B56" s="160"/>
      <c r="C56" s="161"/>
      <c r="D56" s="161"/>
      <c r="E56" s="161"/>
      <c r="F56" s="370"/>
      <c r="G56" s="370"/>
      <c r="H56" s="370"/>
      <c r="I56" s="162"/>
      <c r="J56" s="195"/>
      <c r="K56" s="186"/>
      <c r="L56" s="187"/>
      <c r="M56" s="194"/>
      <c r="N56" s="175"/>
      <c r="O56" s="220"/>
      <c r="P56" s="226"/>
      <c r="Q56" s="227">
        <f t="shared" ref="Q56" si="7">P56*O56</f>
        <v>0</v>
      </c>
    </row>
    <row r="57" spans="2:19" ht="15" customHeight="1" x14ac:dyDescent="0.2">
      <c r="J57" s="198"/>
      <c r="K57" s="188"/>
      <c r="L57" s="189"/>
      <c r="M57" s="176"/>
      <c r="N57" s="177"/>
      <c r="O57" s="173"/>
      <c r="P57" s="228"/>
      <c r="Q57" s="229"/>
    </row>
    <row r="58" spans="2:19" ht="15" customHeight="1" x14ac:dyDescent="0.2">
      <c r="J58" s="198"/>
      <c r="K58" s="188"/>
      <c r="L58" s="189"/>
      <c r="M58" s="182"/>
      <c r="N58" s="183"/>
      <c r="O58" s="171"/>
      <c r="P58" s="232"/>
      <c r="Q58" s="233"/>
    </row>
    <row r="59" spans="2:19" ht="15" customHeight="1" x14ac:dyDescent="0.25">
      <c r="J59" s="222" t="s">
        <v>95</v>
      </c>
      <c r="K59" s="185"/>
      <c r="L59" s="185"/>
      <c r="M59" s="178" t="s">
        <v>20</v>
      </c>
      <c r="N59" s="179"/>
      <c r="O59" s="180" t="s">
        <v>71</v>
      </c>
      <c r="P59" s="230" t="s">
        <v>106</v>
      </c>
      <c r="Q59" s="231" t="s">
        <v>1</v>
      </c>
    </row>
    <row r="60" spans="2:19" ht="15" customHeight="1" x14ac:dyDescent="0.2">
      <c r="J60" s="195"/>
      <c r="K60" s="186"/>
      <c r="L60" s="187"/>
      <c r="M60" s="194"/>
      <c r="N60" s="175"/>
      <c r="O60" s="220"/>
      <c r="P60" s="226"/>
      <c r="Q60" s="227">
        <f t="shared" ref="Q60:Q62" si="8">P60*O60</f>
        <v>0</v>
      </c>
    </row>
    <row r="61" spans="2:19" ht="15" customHeight="1" x14ac:dyDescent="0.2">
      <c r="J61" s="198"/>
      <c r="K61" s="188"/>
      <c r="L61" s="189"/>
      <c r="M61" s="176"/>
      <c r="N61" s="177"/>
      <c r="O61" s="173"/>
      <c r="P61" s="228"/>
      <c r="Q61" s="229">
        <f t="shared" si="8"/>
        <v>0</v>
      </c>
    </row>
    <row r="62" spans="2:19" ht="15" customHeight="1" x14ac:dyDescent="0.2">
      <c r="J62" s="198"/>
      <c r="K62" s="188"/>
      <c r="L62" s="189"/>
      <c r="M62" s="182"/>
      <c r="N62" s="183"/>
      <c r="O62" s="171"/>
      <c r="P62" s="232"/>
      <c r="Q62" s="227">
        <f t="shared" si="8"/>
        <v>0</v>
      </c>
    </row>
    <row r="63" spans="2:19" ht="15" customHeight="1" thickBot="1" x14ac:dyDescent="0.25">
      <c r="J63" s="209" t="s">
        <v>3</v>
      </c>
      <c r="K63" s="201"/>
      <c r="L63" s="201"/>
      <c r="M63" s="201"/>
      <c r="N63" s="202"/>
      <c r="O63" s="202"/>
      <c r="P63" s="234"/>
      <c r="Q63" s="235">
        <f>SUM(Q52:Q62)</f>
        <v>0</v>
      </c>
    </row>
    <row r="64" spans="2:19" ht="15" customHeight="1" x14ac:dyDescent="0.2">
      <c r="J64" s="18"/>
      <c r="K64" s="18"/>
      <c r="L64" s="18"/>
      <c r="M64" s="18"/>
      <c r="N64" s="159"/>
      <c r="O64" s="159"/>
      <c r="P64" s="159"/>
      <c r="Q64" s="159"/>
      <c r="R64" s="159"/>
      <c r="S64" s="159"/>
    </row>
    <row r="65" spans="2:19" ht="15" customHeight="1" thickBot="1" x14ac:dyDescent="0.25">
      <c r="J65" s="18"/>
      <c r="K65" s="18"/>
      <c r="L65" s="18"/>
      <c r="M65" s="18"/>
      <c r="N65" s="159"/>
      <c r="O65" s="159"/>
      <c r="P65" s="159"/>
      <c r="Q65" s="159"/>
      <c r="R65" s="159"/>
      <c r="S65" s="159"/>
    </row>
    <row r="66" spans="2:19" ht="15" customHeight="1" thickBot="1" x14ac:dyDescent="0.3">
      <c r="B66" s="112" t="s">
        <v>7</v>
      </c>
      <c r="C66" s="113"/>
      <c r="D66" s="113"/>
      <c r="E66" s="113"/>
      <c r="F66" s="371">
        <f>$Q$38+$Q$63+$H$54+Q63+Q49</f>
        <v>0</v>
      </c>
      <c r="G66" s="371"/>
      <c r="H66" s="372"/>
      <c r="J66" s="18"/>
      <c r="K66" s="18"/>
      <c r="L66" s="18"/>
      <c r="M66" s="18"/>
      <c r="N66" s="159"/>
      <c r="O66" s="159"/>
      <c r="P66" s="159"/>
      <c r="Q66" s="159"/>
      <c r="R66" s="159"/>
      <c r="S66" s="159"/>
    </row>
    <row r="67" spans="2:19" ht="15" customHeight="1" x14ac:dyDescent="0.2">
      <c r="J67" s="18"/>
      <c r="K67" s="18"/>
      <c r="L67" s="18"/>
      <c r="M67" s="18"/>
      <c r="N67" s="159"/>
      <c r="O67" s="159"/>
      <c r="P67" s="159"/>
      <c r="Q67" s="159"/>
      <c r="R67" s="159"/>
      <c r="S67" s="159"/>
    </row>
    <row r="68" spans="2:19" ht="15" customHeight="1" thickBot="1" x14ac:dyDescent="0.25"/>
    <row r="69" spans="2:19" ht="15" customHeight="1" x14ac:dyDescent="0.25">
      <c r="B69" s="109" t="s">
        <v>19</v>
      </c>
      <c r="C69" s="110"/>
      <c r="D69" s="110"/>
      <c r="E69" s="111"/>
      <c r="F69" s="111"/>
      <c r="G69" s="111"/>
      <c r="H69" s="111"/>
      <c r="I69" s="111"/>
      <c r="J69" s="111"/>
      <c r="K69" s="376"/>
      <c r="L69" s="377"/>
      <c r="N69" s="378" t="s">
        <v>91</v>
      </c>
      <c r="O69" s="379"/>
      <c r="P69" s="380"/>
    </row>
    <row r="70" spans="2:19" ht="15" customHeight="1" x14ac:dyDescent="0.2">
      <c r="B70" s="387" t="s">
        <v>14</v>
      </c>
      <c r="C70" s="388"/>
      <c r="D70" s="388"/>
      <c r="E70" s="388"/>
      <c r="F70" s="388"/>
      <c r="G70" s="388"/>
      <c r="H70" s="389"/>
      <c r="I70" s="118" t="s">
        <v>15</v>
      </c>
      <c r="J70" s="124" t="s">
        <v>29</v>
      </c>
      <c r="K70" s="390" t="s">
        <v>28</v>
      </c>
      <c r="L70" s="391"/>
      <c r="N70" s="381"/>
      <c r="O70" s="382"/>
      <c r="P70" s="383"/>
    </row>
    <row r="71" spans="2:19" ht="15" customHeight="1" x14ac:dyDescent="0.2">
      <c r="B71" s="392"/>
      <c r="C71" s="393"/>
      <c r="D71" s="393"/>
      <c r="E71" s="393"/>
      <c r="F71" s="393"/>
      <c r="G71" s="393"/>
      <c r="H71" s="394"/>
      <c r="I71" s="91"/>
      <c r="J71" s="47"/>
      <c r="K71" s="395"/>
      <c r="L71" s="396"/>
      <c r="N71" s="381"/>
      <c r="O71" s="382"/>
      <c r="P71" s="383"/>
    </row>
    <row r="72" spans="2:19" ht="15" customHeight="1" x14ac:dyDescent="0.2">
      <c r="B72" s="192"/>
      <c r="C72" s="204"/>
      <c r="D72" s="204"/>
      <c r="E72" s="204"/>
      <c r="F72" s="204"/>
      <c r="G72" s="204"/>
      <c r="H72" s="205"/>
      <c r="I72" s="193"/>
      <c r="J72" s="48"/>
      <c r="K72" s="397"/>
      <c r="L72" s="398"/>
      <c r="N72" s="381"/>
      <c r="O72" s="382"/>
      <c r="P72" s="383"/>
    </row>
    <row r="73" spans="2:19" ht="15" customHeight="1" x14ac:dyDescent="0.2">
      <c r="B73" s="192"/>
      <c r="C73" s="204"/>
      <c r="D73" s="204"/>
      <c r="E73" s="204"/>
      <c r="F73" s="204"/>
      <c r="G73" s="204"/>
      <c r="H73" s="205"/>
      <c r="I73" s="93"/>
      <c r="J73" s="48"/>
      <c r="K73" s="397"/>
      <c r="L73" s="398"/>
      <c r="N73" s="381"/>
      <c r="O73" s="382"/>
      <c r="P73" s="383"/>
    </row>
    <row r="74" spans="2:19" ht="15" customHeight="1" x14ac:dyDescent="0.2">
      <c r="B74" s="92"/>
      <c r="C74" s="204"/>
      <c r="D74" s="204"/>
      <c r="E74" s="204"/>
      <c r="F74" s="204"/>
      <c r="G74" s="204"/>
      <c r="H74" s="205"/>
      <c r="I74" s="93"/>
      <c r="J74" s="48"/>
      <c r="K74" s="397"/>
      <c r="L74" s="398"/>
      <c r="N74" s="381"/>
      <c r="O74" s="382"/>
      <c r="P74" s="383"/>
    </row>
    <row r="75" spans="2:19" ht="15" customHeight="1" x14ac:dyDescent="0.2">
      <c r="B75" s="404"/>
      <c r="C75" s="405"/>
      <c r="D75" s="405"/>
      <c r="E75" s="405"/>
      <c r="F75" s="405"/>
      <c r="G75" s="405"/>
      <c r="H75" s="406"/>
      <c r="I75" s="48"/>
      <c r="J75" s="48"/>
      <c r="K75" s="397"/>
      <c r="L75" s="398"/>
      <c r="N75" s="381"/>
      <c r="O75" s="382"/>
      <c r="P75" s="383"/>
    </row>
    <row r="76" spans="2:19" ht="15" customHeight="1" x14ac:dyDescent="0.2">
      <c r="B76" s="404"/>
      <c r="C76" s="405"/>
      <c r="D76" s="405"/>
      <c r="E76" s="405"/>
      <c r="F76" s="405"/>
      <c r="G76" s="405"/>
      <c r="H76" s="406"/>
      <c r="I76" s="48"/>
      <c r="J76" s="48"/>
      <c r="K76" s="397"/>
      <c r="L76" s="398"/>
      <c r="N76" s="381"/>
      <c r="O76" s="382"/>
      <c r="P76" s="383"/>
    </row>
    <row r="77" spans="2:19" ht="15" customHeight="1" x14ac:dyDescent="0.2">
      <c r="B77" s="203"/>
      <c r="C77" s="204"/>
      <c r="D77" s="204"/>
      <c r="E77" s="204"/>
      <c r="F77" s="204"/>
      <c r="G77" s="204"/>
      <c r="H77" s="205"/>
      <c r="I77" s="48"/>
      <c r="J77" s="48"/>
      <c r="K77" s="397"/>
      <c r="L77" s="398"/>
      <c r="N77" s="384"/>
      <c r="O77" s="385"/>
      <c r="P77" s="386"/>
    </row>
    <row r="78" spans="2:19" ht="15" customHeight="1" x14ac:dyDescent="0.2">
      <c r="B78" s="203"/>
      <c r="C78" s="204"/>
      <c r="D78" s="204"/>
      <c r="E78" s="204"/>
      <c r="F78" s="204"/>
      <c r="G78" s="204"/>
      <c r="H78" s="205"/>
      <c r="I78" s="48"/>
      <c r="J78" s="48"/>
      <c r="K78" s="397"/>
      <c r="L78" s="398"/>
    </row>
    <row r="79" spans="2:19" ht="15" customHeight="1" thickBot="1" x14ac:dyDescent="0.25">
      <c r="B79" s="399"/>
      <c r="C79" s="400"/>
      <c r="D79" s="400"/>
      <c r="E79" s="400"/>
      <c r="F79" s="400"/>
      <c r="G79" s="400"/>
      <c r="H79" s="401"/>
      <c r="I79" s="76"/>
      <c r="J79" s="76"/>
      <c r="K79" s="402"/>
      <c r="L79" s="403"/>
    </row>
    <row r="80" spans="2:19" ht="15" customHeight="1" x14ac:dyDescent="0.2"/>
  </sheetData>
  <mergeCells count="69">
    <mergeCell ref="K78:L78"/>
    <mergeCell ref="B79:H79"/>
    <mergeCell ref="K79:L79"/>
    <mergeCell ref="K74:L74"/>
    <mergeCell ref="B75:H75"/>
    <mergeCell ref="K75:L75"/>
    <mergeCell ref="B76:H76"/>
    <mergeCell ref="K76:L76"/>
    <mergeCell ref="K77:L77"/>
    <mergeCell ref="K69:L69"/>
    <mergeCell ref="N69:P77"/>
    <mergeCell ref="B70:H70"/>
    <mergeCell ref="K70:L70"/>
    <mergeCell ref="B71:H71"/>
    <mergeCell ref="K71:L71"/>
    <mergeCell ref="K72:L72"/>
    <mergeCell ref="K73:L73"/>
    <mergeCell ref="B52:D52"/>
    <mergeCell ref="B53:D53"/>
    <mergeCell ref="F56:H56"/>
    <mergeCell ref="F66:H66"/>
    <mergeCell ref="B54:D54"/>
    <mergeCell ref="B50:D50"/>
    <mergeCell ref="B51:D51"/>
    <mergeCell ref="M49:P49"/>
    <mergeCell ref="B41:B42"/>
    <mergeCell ref="C41:C42"/>
    <mergeCell ref="D41:D42"/>
    <mergeCell ref="B43:D43"/>
    <mergeCell ref="J43:L43"/>
    <mergeCell ref="B44:D44"/>
    <mergeCell ref="J44:L44"/>
    <mergeCell ref="B45:D45"/>
    <mergeCell ref="B46:D46"/>
    <mergeCell ref="B47:D47"/>
    <mergeCell ref="B48:D48"/>
    <mergeCell ref="B49:D49"/>
    <mergeCell ref="J51:L51"/>
    <mergeCell ref="B20:B21"/>
    <mergeCell ref="C20:C21"/>
    <mergeCell ref="D20:D21"/>
    <mergeCell ref="E20:E21"/>
    <mergeCell ref="F20:F21"/>
    <mergeCell ref="R21:T22"/>
    <mergeCell ref="E13:J18"/>
    <mergeCell ref="O13:Q13"/>
    <mergeCell ref="O14:Q14"/>
    <mergeCell ref="O16:Q16"/>
    <mergeCell ref="O17:Q17"/>
    <mergeCell ref="O18:Q18"/>
    <mergeCell ref="E10:J10"/>
    <mergeCell ref="O10:Q10"/>
    <mergeCell ref="E11:J11"/>
    <mergeCell ref="O11:Q11"/>
    <mergeCell ref="E12:J12"/>
    <mergeCell ref="O12:Q12"/>
    <mergeCell ref="E7:J7"/>
    <mergeCell ref="O7:Q7"/>
    <mergeCell ref="E8:J8"/>
    <mergeCell ref="O8:Q8"/>
    <mergeCell ref="E9:J9"/>
    <mergeCell ref="O9:Q9"/>
    <mergeCell ref="E6:J6"/>
    <mergeCell ref="O6:Q6"/>
    <mergeCell ref="B2:C3"/>
    <mergeCell ref="E4:J4"/>
    <mergeCell ref="O4:Q4"/>
    <mergeCell ref="E5:J5"/>
    <mergeCell ref="O5:Q5"/>
  </mergeCells>
  <printOptions horizontalCentered="1" verticalCentered="1"/>
  <pageMargins left="0.3" right="0.3" top="0.3" bottom="0.3" header="0.3" footer="0.3"/>
  <pageSetup scale="46" orientation="landscape" cellComments="atEnd"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2:O25"/>
  <sheetViews>
    <sheetView zoomScaleNormal="100" workbookViewId="0">
      <selection activeCell="C30" sqref="C30"/>
    </sheetView>
  </sheetViews>
  <sheetFormatPr defaultRowHeight="12.75" x14ac:dyDescent="0.2"/>
  <cols>
    <col min="1" max="1" width="29.28515625" style="49" bestFit="1" customWidth="1"/>
    <col min="2" max="2" width="9.140625" style="49"/>
    <col min="3" max="3" width="15.42578125" style="49" bestFit="1" customWidth="1"/>
    <col min="4" max="16384" width="9.140625" style="49"/>
  </cols>
  <sheetData>
    <row r="2" spans="1:15" x14ac:dyDescent="0.2">
      <c r="D2" s="407" t="s">
        <v>51</v>
      </c>
      <c r="E2" s="408"/>
      <c r="F2" s="408"/>
      <c r="G2" s="408"/>
      <c r="H2" s="408"/>
      <c r="I2" s="408"/>
      <c r="J2" s="408"/>
      <c r="K2" s="408"/>
      <c r="L2" s="408"/>
      <c r="M2" s="408"/>
      <c r="N2" s="408"/>
      <c r="O2" s="409"/>
    </row>
    <row r="3" spans="1:15" ht="25.5" x14ac:dyDescent="0.2">
      <c r="A3" s="50" t="s">
        <v>34</v>
      </c>
      <c r="B3" s="50" t="s">
        <v>35</v>
      </c>
      <c r="C3" s="51" t="s">
        <v>36</v>
      </c>
      <c r="D3" s="60" t="s">
        <v>37</v>
      </c>
      <c r="E3" s="60" t="s">
        <v>38</v>
      </c>
      <c r="F3" s="60" t="s">
        <v>39</v>
      </c>
      <c r="G3" s="60" t="s">
        <v>40</v>
      </c>
      <c r="H3" s="60" t="s">
        <v>41</v>
      </c>
      <c r="I3" s="60" t="s">
        <v>42</v>
      </c>
      <c r="J3" s="60" t="s">
        <v>43</v>
      </c>
      <c r="K3" s="60" t="s">
        <v>44</v>
      </c>
      <c r="L3" s="60" t="s">
        <v>45</v>
      </c>
      <c r="M3" s="60" t="s">
        <v>46</v>
      </c>
      <c r="N3" s="60" t="s">
        <v>47</v>
      </c>
      <c r="O3" s="60" t="s">
        <v>48</v>
      </c>
    </row>
    <row r="4" spans="1:15" x14ac:dyDescent="0.2">
      <c r="A4" s="52"/>
      <c r="B4" s="53"/>
      <c r="C4" s="300"/>
      <c r="D4" s="300"/>
      <c r="E4" s="300"/>
      <c r="F4" s="300"/>
      <c r="G4" s="300"/>
      <c r="H4" s="300"/>
      <c r="I4" s="300"/>
      <c r="J4" s="300"/>
      <c r="K4" s="300"/>
      <c r="L4" s="300"/>
      <c r="M4" s="300"/>
      <c r="N4" s="300"/>
      <c r="O4" s="301"/>
    </row>
    <row r="5" spans="1:15" x14ac:dyDescent="0.2">
      <c r="A5" s="54"/>
      <c r="B5" s="55"/>
      <c r="C5" s="302"/>
      <c r="D5" s="302"/>
      <c r="E5" s="302"/>
      <c r="F5" s="302"/>
      <c r="G5" s="302"/>
      <c r="H5" s="302"/>
      <c r="I5" s="302"/>
      <c r="J5" s="302"/>
      <c r="K5" s="302"/>
      <c r="L5" s="302"/>
      <c r="M5" s="302"/>
      <c r="N5" s="302"/>
      <c r="O5" s="303"/>
    </row>
    <row r="6" spans="1:15" x14ac:dyDescent="0.2">
      <c r="A6" s="54"/>
      <c r="B6" s="55"/>
      <c r="C6" s="302"/>
      <c r="D6" s="302"/>
      <c r="E6" s="302"/>
      <c r="F6" s="302"/>
      <c r="G6" s="302"/>
      <c r="H6" s="302"/>
      <c r="I6" s="302"/>
      <c r="J6" s="302"/>
      <c r="K6" s="302"/>
      <c r="L6" s="302"/>
      <c r="M6" s="302"/>
      <c r="N6" s="302"/>
      <c r="O6" s="303"/>
    </row>
    <row r="7" spans="1:15" x14ac:dyDescent="0.2">
      <c r="A7" s="54"/>
      <c r="B7" s="55"/>
      <c r="C7" s="302"/>
      <c r="D7" s="302"/>
      <c r="E7" s="302"/>
      <c r="F7" s="302"/>
      <c r="G7" s="302"/>
      <c r="H7" s="302"/>
      <c r="I7" s="302"/>
      <c r="J7" s="302"/>
      <c r="K7" s="302"/>
      <c r="L7" s="302"/>
      <c r="M7" s="302"/>
      <c r="N7" s="302"/>
      <c r="O7" s="303"/>
    </row>
    <row r="8" spans="1:15" x14ac:dyDescent="0.2">
      <c r="A8" s="56"/>
      <c r="B8" s="55"/>
      <c r="C8" s="302"/>
      <c r="D8" s="302"/>
      <c r="E8" s="302"/>
      <c r="F8" s="302"/>
      <c r="G8" s="302"/>
      <c r="H8" s="302"/>
      <c r="I8" s="302"/>
      <c r="J8" s="302"/>
      <c r="K8" s="302"/>
      <c r="L8" s="302"/>
      <c r="M8" s="302"/>
      <c r="N8" s="302"/>
      <c r="O8" s="303"/>
    </row>
    <row r="9" spans="1:15" x14ac:dyDescent="0.2">
      <c r="A9" s="56"/>
      <c r="B9" s="55"/>
      <c r="C9" s="302"/>
      <c r="D9" s="302"/>
      <c r="E9" s="302"/>
      <c r="F9" s="302"/>
      <c r="G9" s="302"/>
      <c r="H9" s="302"/>
      <c r="I9" s="302"/>
      <c r="J9" s="302"/>
      <c r="K9" s="302"/>
      <c r="L9" s="302"/>
      <c r="M9" s="302"/>
      <c r="N9" s="302"/>
      <c r="O9" s="303"/>
    </row>
    <row r="10" spans="1:15" x14ac:dyDescent="0.2">
      <c r="A10" s="56"/>
      <c r="B10" s="55"/>
      <c r="C10" s="302"/>
      <c r="D10" s="302"/>
      <c r="E10" s="302"/>
      <c r="F10" s="302"/>
      <c r="G10" s="302"/>
      <c r="H10" s="302"/>
      <c r="I10" s="302"/>
      <c r="J10" s="302"/>
      <c r="K10" s="302"/>
      <c r="L10" s="302"/>
      <c r="M10" s="302"/>
      <c r="N10" s="302"/>
      <c r="O10" s="303"/>
    </row>
    <row r="11" spans="1:15" x14ac:dyDescent="0.2">
      <c r="A11" s="56"/>
      <c r="B11" s="55"/>
      <c r="C11" s="302"/>
      <c r="D11" s="302"/>
      <c r="E11" s="302"/>
      <c r="F11" s="302"/>
      <c r="G11" s="302"/>
      <c r="H11" s="302"/>
      <c r="I11" s="302"/>
      <c r="J11" s="302"/>
      <c r="K11" s="302"/>
      <c r="L11" s="302"/>
      <c r="M11" s="302"/>
      <c r="N11" s="302"/>
      <c r="O11" s="303"/>
    </row>
    <row r="12" spans="1:15" x14ac:dyDescent="0.2">
      <c r="A12" s="56"/>
      <c r="B12" s="55"/>
      <c r="C12" s="302"/>
      <c r="D12" s="302"/>
      <c r="E12" s="302"/>
      <c r="F12" s="302"/>
      <c r="G12" s="302"/>
      <c r="H12" s="302"/>
      <c r="I12" s="302"/>
      <c r="J12" s="302"/>
      <c r="K12" s="302"/>
      <c r="L12" s="302"/>
      <c r="M12" s="302"/>
      <c r="N12" s="302"/>
      <c r="O12" s="303"/>
    </row>
    <row r="13" spans="1:15" x14ac:dyDescent="0.2">
      <c r="A13" s="56"/>
      <c r="B13" s="55"/>
      <c r="C13" s="302"/>
      <c r="D13" s="302"/>
      <c r="E13" s="302"/>
      <c r="F13" s="302"/>
      <c r="G13" s="302"/>
      <c r="H13" s="302"/>
      <c r="I13" s="302"/>
      <c r="J13" s="302"/>
      <c r="K13" s="302"/>
      <c r="L13" s="302"/>
      <c r="M13" s="302"/>
      <c r="N13" s="302"/>
      <c r="O13" s="303"/>
    </row>
    <row r="14" spans="1:15" x14ac:dyDescent="0.2">
      <c r="A14" s="56"/>
      <c r="B14" s="55"/>
      <c r="C14" s="302"/>
      <c r="D14" s="302"/>
      <c r="E14" s="302"/>
      <c r="F14" s="302"/>
      <c r="G14" s="302"/>
      <c r="H14" s="302"/>
      <c r="I14" s="302"/>
      <c r="J14" s="302"/>
      <c r="K14" s="302"/>
      <c r="L14" s="302"/>
      <c r="M14" s="302"/>
      <c r="N14" s="302"/>
      <c r="O14" s="303"/>
    </row>
    <row r="15" spans="1:15" x14ac:dyDescent="0.2">
      <c r="A15" s="56"/>
      <c r="B15" s="55"/>
      <c r="C15" s="302"/>
      <c r="D15" s="302"/>
      <c r="E15" s="302"/>
      <c r="F15" s="302"/>
      <c r="G15" s="302"/>
      <c r="H15" s="302"/>
      <c r="I15" s="302"/>
      <c r="J15" s="302"/>
      <c r="K15" s="302"/>
      <c r="L15" s="302"/>
      <c r="M15" s="302"/>
      <c r="N15" s="302"/>
      <c r="O15" s="303"/>
    </row>
    <row r="16" spans="1:15" x14ac:dyDescent="0.2">
      <c r="A16" s="56"/>
      <c r="B16" s="55"/>
      <c r="C16" s="302"/>
      <c r="D16" s="302"/>
      <c r="E16" s="302"/>
      <c r="F16" s="302"/>
      <c r="G16" s="302"/>
      <c r="H16" s="302"/>
      <c r="I16" s="302"/>
      <c r="J16" s="302"/>
      <c r="K16" s="302"/>
      <c r="L16" s="302"/>
      <c r="M16" s="302"/>
      <c r="N16" s="302"/>
      <c r="O16" s="303"/>
    </row>
    <row r="17" spans="1:15" x14ac:dyDescent="0.2">
      <c r="A17" s="56"/>
      <c r="B17" s="55"/>
      <c r="C17" s="302"/>
      <c r="D17" s="302"/>
      <c r="E17" s="302"/>
      <c r="F17" s="302"/>
      <c r="G17" s="302"/>
      <c r="H17" s="302"/>
      <c r="I17" s="302"/>
      <c r="J17" s="302"/>
      <c r="K17" s="302"/>
      <c r="L17" s="302"/>
      <c r="M17" s="302"/>
      <c r="N17" s="302"/>
      <c r="O17" s="303"/>
    </row>
    <row r="18" spans="1:15" x14ac:dyDescent="0.2">
      <c r="A18" s="56"/>
      <c r="B18" s="55"/>
      <c r="C18" s="302"/>
      <c r="D18" s="302"/>
      <c r="E18" s="302"/>
      <c r="F18" s="302"/>
      <c r="G18" s="302"/>
      <c r="H18" s="302"/>
      <c r="I18" s="302"/>
      <c r="J18" s="302"/>
      <c r="K18" s="302"/>
      <c r="L18" s="302"/>
      <c r="M18" s="302"/>
      <c r="N18" s="302"/>
      <c r="O18" s="303"/>
    </row>
    <row r="19" spans="1:15" x14ac:dyDescent="0.2">
      <c r="A19" s="56"/>
      <c r="B19" s="55"/>
      <c r="C19" s="302"/>
      <c r="D19" s="302"/>
      <c r="E19" s="302"/>
      <c r="F19" s="302"/>
      <c r="G19" s="302"/>
      <c r="H19" s="302"/>
      <c r="I19" s="302"/>
      <c r="J19" s="302"/>
      <c r="K19" s="302"/>
      <c r="L19" s="302"/>
      <c r="M19" s="302"/>
      <c r="N19" s="302"/>
      <c r="O19" s="303"/>
    </row>
    <row r="20" spans="1:15" x14ac:dyDescent="0.2">
      <c r="A20" s="56"/>
      <c r="B20" s="55"/>
      <c r="C20" s="302"/>
      <c r="D20" s="302"/>
      <c r="E20" s="302"/>
      <c r="F20" s="302"/>
      <c r="G20" s="302"/>
      <c r="H20" s="302"/>
      <c r="I20" s="302"/>
      <c r="J20" s="302"/>
      <c r="K20" s="302"/>
      <c r="L20" s="302"/>
      <c r="M20" s="302"/>
      <c r="N20" s="302"/>
      <c r="O20" s="303"/>
    </row>
    <row r="21" spans="1:15" x14ac:dyDescent="0.2">
      <c r="A21" s="56"/>
      <c r="B21" s="55"/>
      <c r="C21" s="302"/>
      <c r="D21" s="302"/>
      <c r="E21" s="302"/>
      <c r="F21" s="302"/>
      <c r="G21" s="302"/>
      <c r="H21" s="302"/>
      <c r="I21" s="302"/>
      <c r="J21" s="302"/>
      <c r="K21" s="302"/>
      <c r="L21" s="302"/>
      <c r="M21" s="302"/>
      <c r="N21" s="302"/>
      <c r="O21" s="303"/>
    </row>
    <row r="22" spans="1:15" x14ac:dyDescent="0.2">
      <c r="A22" s="56"/>
      <c r="B22" s="55"/>
      <c r="C22" s="302"/>
      <c r="D22" s="302"/>
      <c r="E22" s="302"/>
      <c r="F22" s="302"/>
      <c r="G22" s="302"/>
      <c r="H22" s="302"/>
      <c r="I22" s="302"/>
      <c r="J22" s="302"/>
      <c r="K22" s="302"/>
      <c r="L22" s="302"/>
      <c r="M22" s="302"/>
      <c r="N22" s="302"/>
      <c r="O22" s="303"/>
    </row>
    <row r="23" spans="1:15" x14ac:dyDescent="0.2">
      <c r="A23" s="56"/>
      <c r="B23" s="55"/>
      <c r="C23" s="302"/>
      <c r="D23" s="302"/>
      <c r="E23" s="302"/>
      <c r="F23" s="302"/>
      <c r="G23" s="302"/>
      <c r="H23" s="302"/>
      <c r="I23" s="302"/>
      <c r="J23" s="302"/>
      <c r="K23" s="302"/>
      <c r="L23" s="302"/>
      <c r="M23" s="302"/>
      <c r="N23" s="302"/>
      <c r="O23" s="303"/>
    </row>
    <row r="24" spans="1:15" x14ac:dyDescent="0.2">
      <c r="A24" s="57"/>
      <c r="B24" s="58" t="s">
        <v>50</v>
      </c>
      <c r="C24" s="304">
        <f>SUM(C4:C23)</f>
        <v>0</v>
      </c>
      <c r="D24" s="304"/>
      <c r="E24" s="304"/>
      <c r="F24" s="304"/>
      <c r="G24" s="304"/>
      <c r="H24" s="304"/>
      <c r="I24" s="304"/>
      <c r="J24" s="304"/>
      <c r="K24" s="304"/>
      <c r="L24" s="304"/>
      <c r="M24" s="304"/>
      <c r="N24" s="304"/>
      <c r="O24" s="305"/>
    </row>
    <row r="25" spans="1:15" x14ac:dyDescent="0.2">
      <c r="A25" s="59"/>
      <c r="B25" s="59"/>
      <c r="C25" s="306" t="s">
        <v>49</v>
      </c>
      <c r="D25" s="307">
        <f>SUM(D4:D24)</f>
        <v>0</v>
      </c>
      <c r="E25" s="307">
        <f t="shared" ref="E25:O25" si="0">SUM(E4:E24)</f>
        <v>0</v>
      </c>
      <c r="F25" s="307">
        <f t="shared" si="0"/>
        <v>0</v>
      </c>
      <c r="G25" s="307">
        <f t="shared" si="0"/>
        <v>0</v>
      </c>
      <c r="H25" s="307">
        <f t="shared" si="0"/>
        <v>0</v>
      </c>
      <c r="I25" s="307">
        <f t="shared" si="0"/>
        <v>0</v>
      </c>
      <c r="J25" s="307">
        <f t="shared" si="0"/>
        <v>0</v>
      </c>
      <c r="K25" s="307">
        <f t="shared" si="0"/>
        <v>0</v>
      </c>
      <c r="L25" s="307">
        <f t="shared" si="0"/>
        <v>0</v>
      </c>
      <c r="M25" s="307">
        <f t="shared" si="0"/>
        <v>0</v>
      </c>
      <c r="N25" s="307">
        <f t="shared" si="0"/>
        <v>0</v>
      </c>
      <c r="O25" s="307">
        <f t="shared" si="0"/>
        <v>0</v>
      </c>
    </row>
  </sheetData>
  <mergeCells count="1">
    <mergeCell ref="D2:O2"/>
  </mergeCells>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B1:X80"/>
  <sheetViews>
    <sheetView showGridLines="0" zoomScale="70" zoomScaleNormal="70" zoomScaleSheetLayoutView="80" workbookViewId="0">
      <selection activeCell="B27" sqref="B27"/>
    </sheetView>
  </sheetViews>
  <sheetFormatPr defaultRowHeight="12.75" x14ac:dyDescent="0.2"/>
  <cols>
    <col min="2" max="2" width="63.85546875" customWidth="1"/>
    <col min="3" max="3" width="22.5703125" customWidth="1"/>
    <col min="4" max="4" width="20.85546875" customWidth="1"/>
    <col min="5" max="5" width="9.140625" customWidth="1"/>
    <col min="6" max="6" width="12.42578125" customWidth="1"/>
    <col min="7" max="7" width="10.7109375" customWidth="1"/>
    <col min="8" max="8" width="14.140625" customWidth="1"/>
    <col min="9" max="9" width="15.7109375" customWidth="1"/>
    <col min="10" max="10" width="10.7109375" customWidth="1"/>
    <col min="11" max="11" width="9.5703125" customWidth="1"/>
    <col min="12" max="12" width="13.140625" customWidth="1"/>
    <col min="13" max="13" width="15.7109375" customWidth="1"/>
    <col min="14" max="14" width="21.85546875" customWidth="1"/>
    <col min="15" max="15" width="13.140625" customWidth="1"/>
    <col min="16" max="17" width="15.7109375" customWidth="1"/>
    <col min="18" max="18" width="26.42578125" customWidth="1"/>
    <col min="19" max="19" width="12.28515625" bestFit="1" customWidth="1"/>
  </cols>
  <sheetData>
    <row r="1" spans="2:24" ht="13.5" thickBot="1" x14ac:dyDescent="0.25"/>
    <row r="2" spans="2:24" ht="23.25" customHeight="1" x14ac:dyDescent="0.35">
      <c r="B2" s="313" t="s">
        <v>92</v>
      </c>
      <c r="C2" s="314"/>
      <c r="D2" s="43"/>
      <c r="E2" s="98" t="s">
        <v>62</v>
      </c>
      <c r="F2" s="99"/>
      <c r="G2" s="99"/>
      <c r="H2" s="99"/>
      <c r="I2" s="99"/>
      <c r="J2" s="140"/>
      <c r="K2" s="10"/>
      <c r="L2" s="98" t="s">
        <v>74</v>
      </c>
      <c r="M2" s="99"/>
      <c r="N2" s="100"/>
      <c r="O2" s="100"/>
      <c r="P2" s="100"/>
      <c r="Q2" s="101"/>
      <c r="R2" s="16"/>
    </row>
    <row r="3" spans="2:24" ht="21" customHeight="1" x14ac:dyDescent="0.25">
      <c r="B3" s="315"/>
      <c r="C3" s="316"/>
      <c r="D3" s="10"/>
      <c r="E3" s="102" t="s">
        <v>74</v>
      </c>
      <c r="F3" s="103"/>
      <c r="G3" s="103"/>
      <c r="H3" s="103"/>
      <c r="I3" s="103"/>
      <c r="J3" s="141"/>
      <c r="K3" s="10"/>
      <c r="L3" s="39" t="s">
        <v>16</v>
      </c>
      <c r="M3" s="24"/>
      <c r="N3" s="24"/>
      <c r="O3" s="36" t="s">
        <v>58</v>
      </c>
      <c r="P3" s="10"/>
      <c r="Q3" s="38"/>
      <c r="R3" s="22"/>
      <c r="S3" s="22"/>
      <c r="U3" s="22"/>
      <c r="V3" s="16"/>
      <c r="W3" s="16"/>
      <c r="X3" s="16"/>
    </row>
    <row r="4" spans="2:24" ht="18" customHeight="1" x14ac:dyDescent="0.25">
      <c r="B4" s="62"/>
      <c r="C4" s="38"/>
      <c r="D4" s="28"/>
      <c r="E4" s="308" t="s">
        <v>60</v>
      </c>
      <c r="F4" s="309"/>
      <c r="G4" s="309"/>
      <c r="H4" s="309"/>
      <c r="I4" s="309"/>
      <c r="J4" s="310"/>
      <c r="K4" s="10"/>
      <c r="L4" s="37" t="s">
        <v>75</v>
      </c>
      <c r="M4" s="10"/>
      <c r="N4" s="96" t="s">
        <v>80</v>
      </c>
      <c r="O4" s="317" t="s">
        <v>102</v>
      </c>
      <c r="P4" s="317"/>
      <c r="Q4" s="318"/>
      <c r="R4" s="15"/>
      <c r="S4" s="15"/>
      <c r="U4" s="15"/>
      <c r="V4" s="15"/>
      <c r="W4" s="16"/>
      <c r="X4" s="16"/>
    </row>
    <row r="5" spans="2:24" ht="18" customHeight="1" x14ac:dyDescent="0.25">
      <c r="B5" s="63" t="s">
        <v>52</v>
      </c>
      <c r="C5" s="64"/>
      <c r="D5" s="28"/>
      <c r="E5" s="319" t="s">
        <v>109</v>
      </c>
      <c r="F5" s="320"/>
      <c r="G5" s="320"/>
      <c r="H5" s="320"/>
      <c r="I5" s="320"/>
      <c r="J5" s="321"/>
      <c r="K5" s="10"/>
      <c r="L5" s="37" t="s">
        <v>76</v>
      </c>
      <c r="M5" s="10"/>
      <c r="N5" s="96" t="s">
        <v>79</v>
      </c>
      <c r="O5" s="311" t="s">
        <v>102</v>
      </c>
      <c r="P5" s="311"/>
      <c r="Q5" s="312"/>
      <c r="R5" s="15"/>
      <c r="S5" s="15"/>
      <c r="U5" s="15"/>
      <c r="V5" s="15"/>
      <c r="W5" s="16"/>
      <c r="X5" s="16"/>
    </row>
    <row r="6" spans="2:24" ht="18" x14ac:dyDescent="0.25">
      <c r="B6" s="65" t="s">
        <v>54</v>
      </c>
      <c r="C6" s="66"/>
      <c r="D6" s="29"/>
      <c r="E6" s="308" t="s">
        <v>63</v>
      </c>
      <c r="F6" s="309"/>
      <c r="G6" s="309"/>
      <c r="H6" s="309"/>
      <c r="I6" s="309"/>
      <c r="J6" s="310"/>
      <c r="K6" s="10"/>
      <c r="L6" s="40" t="s">
        <v>77</v>
      </c>
      <c r="M6" s="10"/>
      <c r="N6" s="10"/>
      <c r="O6" s="311"/>
      <c r="P6" s="311"/>
      <c r="Q6" s="312"/>
      <c r="R6" s="15"/>
      <c r="S6" s="15"/>
      <c r="U6" s="15"/>
      <c r="V6" s="15"/>
      <c r="W6" s="16"/>
      <c r="X6" s="16"/>
    </row>
    <row r="7" spans="2:24" ht="18" customHeight="1" x14ac:dyDescent="0.25">
      <c r="B7" s="65" t="s">
        <v>56</v>
      </c>
      <c r="C7" s="66"/>
      <c r="D7" s="29"/>
      <c r="E7" s="319" t="s">
        <v>65</v>
      </c>
      <c r="F7" s="320"/>
      <c r="G7" s="320"/>
      <c r="H7" s="320"/>
      <c r="I7" s="320"/>
      <c r="J7" s="321"/>
      <c r="K7" s="10"/>
      <c r="L7" s="40" t="s">
        <v>82</v>
      </c>
      <c r="M7" s="10"/>
      <c r="N7" s="97" t="s">
        <v>81</v>
      </c>
      <c r="O7" s="311" t="s">
        <v>102</v>
      </c>
      <c r="P7" s="311"/>
      <c r="Q7" s="312"/>
      <c r="R7" s="15"/>
      <c r="S7" s="15"/>
      <c r="U7" s="15"/>
      <c r="V7" s="15"/>
      <c r="W7" s="16"/>
      <c r="X7" s="16"/>
    </row>
    <row r="8" spans="2:24" ht="18" customHeight="1" x14ac:dyDescent="0.25">
      <c r="B8" s="65" t="s">
        <v>53</v>
      </c>
      <c r="C8" s="67"/>
      <c r="D8" s="30"/>
      <c r="E8" s="308" t="s">
        <v>67</v>
      </c>
      <c r="F8" s="309"/>
      <c r="G8" s="309"/>
      <c r="H8" s="309"/>
      <c r="I8" s="309"/>
      <c r="J8" s="310"/>
      <c r="K8" s="10"/>
      <c r="L8" s="37"/>
      <c r="M8" s="10"/>
      <c r="N8" s="96" t="s">
        <v>83</v>
      </c>
      <c r="O8" s="311" t="s">
        <v>102</v>
      </c>
      <c r="P8" s="311"/>
      <c r="Q8" s="312"/>
      <c r="R8" s="15"/>
      <c r="S8" s="15"/>
      <c r="U8" s="15"/>
      <c r="V8" s="15"/>
      <c r="W8" s="16"/>
      <c r="X8" s="16"/>
    </row>
    <row r="9" spans="2:24" ht="18.75" customHeight="1" x14ac:dyDescent="0.25">
      <c r="B9" s="65" t="s">
        <v>55</v>
      </c>
      <c r="C9" s="67"/>
      <c r="D9" s="30"/>
      <c r="E9" s="319" t="s">
        <v>100</v>
      </c>
      <c r="F9" s="320"/>
      <c r="G9" s="320"/>
      <c r="H9" s="320"/>
      <c r="I9" s="320"/>
      <c r="J9" s="321"/>
      <c r="K9" s="10"/>
      <c r="L9" s="37" t="s">
        <v>84</v>
      </c>
      <c r="M9" s="10"/>
      <c r="N9" s="24"/>
      <c r="O9" s="311"/>
      <c r="P9" s="311"/>
      <c r="Q9" s="312"/>
      <c r="R9" s="16"/>
      <c r="S9" s="16"/>
      <c r="U9" s="16"/>
      <c r="V9" s="16"/>
      <c r="W9" s="16"/>
      <c r="X9" s="16"/>
    </row>
    <row r="10" spans="2:24" ht="18" customHeight="1" x14ac:dyDescent="0.25">
      <c r="B10" s="70" t="s">
        <v>87</v>
      </c>
      <c r="C10" s="68"/>
      <c r="D10" s="23"/>
      <c r="E10" s="308" t="s">
        <v>68</v>
      </c>
      <c r="F10" s="309"/>
      <c r="G10" s="309"/>
      <c r="H10" s="309"/>
      <c r="I10" s="309"/>
      <c r="J10" s="310"/>
      <c r="K10" s="10"/>
      <c r="L10" s="37" t="s">
        <v>85</v>
      </c>
      <c r="M10" s="10"/>
      <c r="N10" s="24"/>
      <c r="O10" s="311"/>
      <c r="P10" s="311"/>
      <c r="Q10" s="312"/>
    </row>
    <row r="11" spans="2:24" ht="18.75" customHeight="1" x14ac:dyDescent="0.25">
      <c r="B11" s="70" t="s">
        <v>22</v>
      </c>
      <c r="C11" s="68"/>
      <c r="D11" s="28"/>
      <c r="E11" s="319" t="s">
        <v>70</v>
      </c>
      <c r="F11" s="320"/>
      <c r="G11" s="320"/>
      <c r="H11" s="320"/>
      <c r="I11" s="320"/>
      <c r="J11" s="321"/>
      <c r="K11" s="10"/>
      <c r="L11" s="37" t="s">
        <v>26</v>
      </c>
      <c r="M11" s="10"/>
      <c r="N11" s="24"/>
      <c r="O11" s="311" t="s">
        <v>102</v>
      </c>
      <c r="P11" s="311"/>
      <c r="Q11" s="312"/>
    </row>
    <row r="12" spans="2:24" ht="18.75" customHeight="1" x14ac:dyDescent="0.25">
      <c r="B12" s="65" t="s">
        <v>21</v>
      </c>
      <c r="C12" s="69"/>
      <c r="D12" s="29"/>
      <c r="E12" s="322" t="s">
        <v>101</v>
      </c>
      <c r="F12" s="323"/>
      <c r="G12" s="323"/>
      <c r="H12" s="323"/>
      <c r="I12" s="323"/>
      <c r="J12" s="324"/>
      <c r="K12" s="10"/>
      <c r="L12" s="37" t="s">
        <v>27</v>
      </c>
      <c r="M12" s="10"/>
      <c r="N12" s="24"/>
      <c r="O12" s="311"/>
      <c r="P12" s="311"/>
      <c r="Q12" s="312"/>
    </row>
    <row r="13" spans="2:24" ht="18" customHeight="1" x14ac:dyDescent="0.25">
      <c r="B13" s="70" t="s">
        <v>97</v>
      </c>
      <c r="C13" s="66"/>
      <c r="D13" s="31"/>
      <c r="E13" s="327" t="s">
        <v>99</v>
      </c>
      <c r="F13" s="309"/>
      <c r="G13" s="309"/>
      <c r="H13" s="309"/>
      <c r="I13" s="309"/>
      <c r="J13" s="310"/>
      <c r="K13" s="10"/>
      <c r="L13" s="37" t="s">
        <v>18</v>
      </c>
      <c r="M13" s="10"/>
      <c r="N13" s="24"/>
      <c r="O13" s="311"/>
      <c r="P13" s="311"/>
      <c r="Q13" s="312"/>
    </row>
    <row r="14" spans="2:24" ht="18" customHeight="1" x14ac:dyDescent="0.25">
      <c r="B14" s="70" t="s">
        <v>98</v>
      </c>
      <c r="C14" s="67"/>
      <c r="D14" s="32"/>
      <c r="E14" s="328"/>
      <c r="F14" s="329"/>
      <c r="G14" s="329"/>
      <c r="H14" s="329"/>
      <c r="I14" s="329"/>
      <c r="J14" s="330"/>
      <c r="K14" s="10"/>
      <c r="L14" s="37" t="s">
        <v>17</v>
      </c>
      <c r="M14" s="10"/>
      <c r="N14" s="24"/>
      <c r="O14" s="334"/>
      <c r="P14" s="334"/>
      <c r="Q14" s="335"/>
    </row>
    <row r="15" spans="2:24" ht="18" x14ac:dyDescent="0.25">
      <c r="B15" s="165"/>
      <c r="C15" s="71"/>
      <c r="D15" s="33"/>
      <c r="E15" s="328"/>
      <c r="F15" s="329"/>
      <c r="G15" s="329"/>
      <c r="H15" s="329"/>
      <c r="I15" s="329"/>
      <c r="J15" s="330"/>
      <c r="K15" s="10"/>
      <c r="L15" s="102" t="s">
        <v>59</v>
      </c>
      <c r="M15" s="104"/>
      <c r="N15" s="104"/>
      <c r="O15" s="104"/>
      <c r="P15" s="104"/>
      <c r="Q15" s="105"/>
    </row>
    <row r="16" spans="2:24" ht="18" customHeight="1" x14ac:dyDescent="0.25">
      <c r="B16" s="63" t="s">
        <v>57</v>
      </c>
      <c r="C16" s="72"/>
      <c r="D16" s="32"/>
      <c r="E16" s="328"/>
      <c r="F16" s="329"/>
      <c r="G16" s="329"/>
      <c r="H16" s="329"/>
      <c r="I16" s="329"/>
      <c r="J16" s="330"/>
      <c r="K16" s="10"/>
      <c r="L16" s="37" t="s">
        <v>61</v>
      </c>
      <c r="M16" s="10"/>
      <c r="N16" s="24"/>
      <c r="O16" s="317" t="s">
        <v>103</v>
      </c>
      <c r="P16" s="317"/>
      <c r="Q16" s="318"/>
    </row>
    <row r="17" spans="2:20" ht="18" x14ac:dyDescent="0.25">
      <c r="B17" s="70" t="s">
        <v>23</v>
      </c>
      <c r="C17" s="73"/>
      <c r="D17" s="32"/>
      <c r="E17" s="328"/>
      <c r="F17" s="329"/>
      <c r="G17" s="329"/>
      <c r="H17" s="329"/>
      <c r="I17" s="329"/>
      <c r="J17" s="330"/>
      <c r="K17" s="10"/>
      <c r="L17" s="37" t="s">
        <v>78</v>
      </c>
      <c r="M17" s="10"/>
      <c r="N17" s="24"/>
      <c r="O17" s="311" t="s">
        <v>72</v>
      </c>
      <c r="P17" s="311"/>
      <c r="Q17" s="312"/>
    </row>
    <row r="18" spans="2:20" ht="18.75" customHeight="1" thickBot="1" x14ac:dyDescent="0.3">
      <c r="B18" s="74" t="s">
        <v>86</v>
      </c>
      <c r="C18" s="75"/>
      <c r="D18" s="32"/>
      <c r="E18" s="331"/>
      <c r="F18" s="332"/>
      <c r="G18" s="332"/>
      <c r="H18" s="332"/>
      <c r="I18" s="332"/>
      <c r="J18" s="333"/>
      <c r="K18" s="10"/>
      <c r="L18" s="41" t="s">
        <v>25</v>
      </c>
      <c r="M18" s="2"/>
      <c r="N18" s="42"/>
      <c r="O18" s="336" t="s">
        <v>104</v>
      </c>
      <c r="P18" s="336"/>
      <c r="Q18" s="337"/>
    </row>
    <row r="19" spans="2:20" ht="18.75" thickBot="1" x14ac:dyDescent="0.3">
      <c r="B19" s="1"/>
      <c r="C19" s="1"/>
      <c r="D19" s="1"/>
      <c r="E19" s="1"/>
      <c r="L19" s="36"/>
      <c r="M19" s="10"/>
      <c r="N19" s="24"/>
      <c r="O19" s="10"/>
      <c r="P19" s="10"/>
      <c r="Q19" s="10"/>
    </row>
    <row r="20" spans="2:20" ht="30" customHeight="1" x14ac:dyDescent="0.2">
      <c r="B20" s="338" t="s">
        <v>33</v>
      </c>
      <c r="C20" s="340" t="s">
        <v>31</v>
      </c>
      <c r="D20" s="340" t="s">
        <v>30</v>
      </c>
      <c r="E20" s="340" t="s">
        <v>131</v>
      </c>
      <c r="F20" s="340" t="s">
        <v>69</v>
      </c>
      <c r="G20" s="134" t="s">
        <v>12</v>
      </c>
      <c r="H20" s="135"/>
      <c r="I20" s="136"/>
      <c r="J20" s="134" t="s">
        <v>8</v>
      </c>
      <c r="K20" s="137"/>
      <c r="L20" s="135"/>
      <c r="M20" s="136"/>
      <c r="N20" s="134" t="s">
        <v>32</v>
      </c>
      <c r="O20" s="135"/>
      <c r="P20" s="135"/>
      <c r="Q20" s="128"/>
    </row>
    <row r="21" spans="2:20" ht="25.5" x14ac:dyDescent="0.2">
      <c r="B21" s="339"/>
      <c r="C21" s="341"/>
      <c r="D21" s="341"/>
      <c r="E21" s="341"/>
      <c r="F21" s="341"/>
      <c r="G21" s="216" t="s">
        <v>0</v>
      </c>
      <c r="H21" s="215" t="s">
        <v>5</v>
      </c>
      <c r="I21" s="129"/>
      <c r="J21" s="216" t="s">
        <v>0</v>
      </c>
      <c r="K21" s="215"/>
      <c r="L21" s="217" t="s">
        <v>5</v>
      </c>
      <c r="M21" s="129"/>
      <c r="N21" s="216" t="s">
        <v>0</v>
      </c>
      <c r="O21" s="215" t="s">
        <v>5</v>
      </c>
      <c r="P21" s="130"/>
      <c r="Q21" s="131" t="s">
        <v>3</v>
      </c>
      <c r="R21" s="325" t="s">
        <v>108</v>
      </c>
      <c r="S21" s="326"/>
      <c r="T21" s="326"/>
    </row>
    <row r="22" spans="2:20" ht="21" customHeight="1" x14ac:dyDescent="0.25">
      <c r="B22" s="17" t="s">
        <v>110</v>
      </c>
      <c r="C22" s="20"/>
      <c r="D22" s="20"/>
      <c r="E22" s="82"/>
      <c r="F22" s="86"/>
      <c r="G22" s="132" t="s">
        <v>2</v>
      </c>
      <c r="H22" s="132" t="s">
        <v>105</v>
      </c>
      <c r="I22" s="133" t="s">
        <v>4</v>
      </c>
      <c r="J22" s="132" t="s">
        <v>2</v>
      </c>
      <c r="K22" s="132"/>
      <c r="L22" s="132" t="s">
        <v>105</v>
      </c>
      <c r="M22" s="133" t="s">
        <v>6</v>
      </c>
      <c r="N22" s="132" t="s">
        <v>2</v>
      </c>
      <c r="O22" s="132" t="s">
        <v>105</v>
      </c>
      <c r="P22" s="132" t="s">
        <v>6</v>
      </c>
      <c r="Q22" s="131" t="s">
        <v>1</v>
      </c>
      <c r="R22" s="325"/>
      <c r="S22" s="326"/>
      <c r="T22" s="326"/>
    </row>
    <row r="23" spans="2:20" ht="15" customHeight="1" x14ac:dyDescent="0.2">
      <c r="B23" s="246"/>
      <c r="C23" s="248"/>
      <c r="D23" s="248"/>
      <c r="E23" s="250"/>
      <c r="F23" s="251"/>
      <c r="G23" s="25"/>
      <c r="H23" s="166"/>
      <c r="I23" s="223">
        <f>H23*G23</f>
        <v>0</v>
      </c>
      <c r="J23" s="256"/>
      <c r="K23" s="27"/>
      <c r="L23" s="166"/>
      <c r="M23" s="223">
        <f t="shared" ref="M23:M37" si="0">L23*J23</f>
        <v>0</v>
      </c>
      <c r="N23" s="25"/>
      <c r="O23" s="166"/>
      <c r="P23" s="223">
        <f>O23*N23</f>
        <v>0</v>
      </c>
      <c r="Q23" s="169">
        <f t="shared" ref="Q23:Q37" si="1">SUM(I23,M23,P23)</f>
        <v>0</v>
      </c>
    </row>
    <row r="24" spans="2:20" ht="15" customHeight="1" x14ac:dyDescent="0.2">
      <c r="B24" s="247"/>
      <c r="C24" s="249"/>
      <c r="D24" s="249"/>
      <c r="E24" s="252"/>
      <c r="F24" s="253"/>
      <c r="G24" s="255"/>
      <c r="H24" s="167"/>
      <c r="I24" s="224">
        <f>H24*G24</f>
        <v>0</v>
      </c>
      <c r="J24" s="77"/>
      <c r="K24" s="77"/>
      <c r="L24" s="167"/>
      <c r="M24" s="224">
        <f t="shared" si="0"/>
        <v>0</v>
      </c>
      <c r="N24" s="77"/>
      <c r="O24" s="167"/>
      <c r="P24" s="224">
        <f>O24*N24</f>
        <v>0</v>
      </c>
      <c r="Q24" s="170">
        <f t="shared" si="1"/>
        <v>0</v>
      </c>
    </row>
    <row r="25" spans="2:20" ht="15" customHeight="1" x14ac:dyDescent="0.2">
      <c r="B25" s="247"/>
      <c r="C25" s="249"/>
      <c r="D25" s="249"/>
      <c r="E25" s="254"/>
      <c r="F25" s="253"/>
      <c r="G25" s="255"/>
      <c r="H25" s="167"/>
      <c r="I25" s="224">
        <f t="shared" ref="I25:I37" si="2">H25*G25</f>
        <v>0</v>
      </c>
      <c r="J25" s="77"/>
      <c r="K25" s="77"/>
      <c r="L25" s="167"/>
      <c r="M25" s="224">
        <f t="shared" si="0"/>
        <v>0</v>
      </c>
      <c r="N25" s="77"/>
      <c r="O25" s="167"/>
      <c r="P25" s="224">
        <f t="shared" ref="P25:P37" si="3">O25*N25</f>
        <v>0</v>
      </c>
      <c r="Q25" s="170">
        <f t="shared" si="1"/>
        <v>0</v>
      </c>
    </row>
    <row r="26" spans="2:20" ht="15" customHeight="1" x14ac:dyDescent="0.2">
      <c r="B26" s="247"/>
      <c r="C26" s="34"/>
      <c r="D26" s="34"/>
      <c r="E26" s="83"/>
      <c r="F26" s="87"/>
      <c r="G26" s="77"/>
      <c r="H26" s="167"/>
      <c r="I26" s="224">
        <f t="shared" si="2"/>
        <v>0</v>
      </c>
      <c r="J26" s="77"/>
      <c r="K26" s="77"/>
      <c r="L26" s="167"/>
      <c r="M26" s="224">
        <f t="shared" si="0"/>
        <v>0</v>
      </c>
      <c r="N26" s="77"/>
      <c r="O26" s="167"/>
      <c r="P26" s="224">
        <f t="shared" si="3"/>
        <v>0</v>
      </c>
      <c r="Q26" s="170">
        <f t="shared" si="1"/>
        <v>0</v>
      </c>
    </row>
    <row r="27" spans="2:20" ht="15" customHeight="1" x14ac:dyDescent="0.2">
      <c r="B27" s="247"/>
      <c r="C27" s="34"/>
      <c r="D27" s="34"/>
      <c r="E27" s="83"/>
      <c r="F27" s="87"/>
      <c r="G27" s="61"/>
      <c r="H27" s="167"/>
      <c r="I27" s="224">
        <f>H27*G27</f>
        <v>0</v>
      </c>
      <c r="J27" s="77"/>
      <c r="K27" s="77"/>
      <c r="L27" s="167"/>
      <c r="M27" s="224">
        <f>L27*J27</f>
        <v>0</v>
      </c>
      <c r="N27" s="77"/>
      <c r="O27" s="167"/>
      <c r="P27" s="224">
        <f>O27*N27</f>
        <v>0</v>
      </c>
      <c r="Q27" s="170">
        <f>SUM(I27,M27,P27)</f>
        <v>0</v>
      </c>
    </row>
    <row r="28" spans="2:20" ht="15" customHeight="1" x14ac:dyDescent="0.2">
      <c r="B28" s="247"/>
      <c r="C28" s="34"/>
      <c r="D28" s="34"/>
      <c r="E28" s="83"/>
      <c r="F28" s="87"/>
      <c r="G28" s="77"/>
      <c r="H28" s="167"/>
      <c r="I28" s="224">
        <f>H28*G28</f>
        <v>0</v>
      </c>
      <c r="J28" s="77"/>
      <c r="K28" s="77"/>
      <c r="L28" s="167"/>
      <c r="M28" s="224">
        <f>L28*J28</f>
        <v>0</v>
      </c>
      <c r="N28" s="77"/>
      <c r="O28" s="167"/>
      <c r="P28" s="224">
        <f>O28*N28</f>
        <v>0</v>
      </c>
      <c r="Q28" s="170">
        <f>SUM(I28,M28,P28)</f>
        <v>0</v>
      </c>
    </row>
    <row r="29" spans="2:20" ht="15" customHeight="1" x14ac:dyDescent="0.2">
      <c r="B29" s="247"/>
      <c r="C29" s="34"/>
      <c r="D29" s="34"/>
      <c r="E29" s="83"/>
      <c r="F29" s="87"/>
      <c r="G29" s="77"/>
      <c r="H29" s="167"/>
      <c r="I29" s="224">
        <f>H29*G29</f>
        <v>0</v>
      </c>
      <c r="J29" s="77"/>
      <c r="K29" s="77"/>
      <c r="L29" s="167"/>
      <c r="M29" s="224">
        <f>L29*J29</f>
        <v>0</v>
      </c>
      <c r="N29" s="77"/>
      <c r="O29" s="167"/>
      <c r="P29" s="224">
        <f>O29*N29</f>
        <v>0</v>
      </c>
      <c r="Q29" s="170">
        <f>SUM(I29,M29,P29)</f>
        <v>0</v>
      </c>
    </row>
    <row r="30" spans="2:20" ht="15" customHeight="1" x14ac:dyDescent="0.2">
      <c r="B30" s="26"/>
      <c r="C30" s="34"/>
      <c r="D30" s="34"/>
      <c r="E30" s="83"/>
      <c r="F30" s="87"/>
      <c r="G30" s="77"/>
      <c r="H30" s="167"/>
      <c r="I30" s="224">
        <f>H30*G30</f>
        <v>0</v>
      </c>
      <c r="J30" s="77"/>
      <c r="K30" s="77"/>
      <c r="L30" s="167"/>
      <c r="M30" s="224">
        <f>L30*J30</f>
        <v>0</v>
      </c>
      <c r="N30" s="77"/>
      <c r="O30" s="167"/>
      <c r="P30" s="224">
        <f>O30*N30</f>
        <v>0</v>
      </c>
      <c r="Q30" s="170">
        <f>SUM(I30,M30,P30)</f>
        <v>0</v>
      </c>
    </row>
    <row r="31" spans="2:20" ht="15" customHeight="1" x14ac:dyDescent="0.2">
      <c r="B31" s="26"/>
      <c r="C31" s="34"/>
      <c r="D31" s="34"/>
      <c r="E31" s="83"/>
      <c r="F31" s="87"/>
      <c r="G31" s="77"/>
      <c r="H31" s="167"/>
      <c r="I31" s="224">
        <f>H31*G31</f>
        <v>0</v>
      </c>
      <c r="J31" s="77"/>
      <c r="K31" s="77"/>
      <c r="L31" s="167"/>
      <c r="M31" s="224">
        <f>L31*J31</f>
        <v>0</v>
      </c>
      <c r="N31" s="77"/>
      <c r="O31" s="167"/>
      <c r="P31" s="224">
        <f>O31*N31</f>
        <v>0</v>
      </c>
      <c r="Q31" s="170">
        <f>SUM(I31,M31,P31)</f>
        <v>0</v>
      </c>
    </row>
    <row r="32" spans="2:20" ht="15" customHeight="1" x14ac:dyDescent="0.2">
      <c r="B32" s="26"/>
      <c r="C32" s="34"/>
      <c r="D32" s="34"/>
      <c r="E32" s="83"/>
      <c r="F32" s="87"/>
      <c r="G32" s="77"/>
      <c r="H32" s="167"/>
      <c r="I32" s="224">
        <f t="shared" si="2"/>
        <v>0</v>
      </c>
      <c r="J32" s="77"/>
      <c r="K32" s="77"/>
      <c r="L32" s="167"/>
      <c r="M32" s="224">
        <f t="shared" si="0"/>
        <v>0</v>
      </c>
      <c r="N32" s="77"/>
      <c r="O32" s="167"/>
      <c r="P32" s="224">
        <f t="shared" si="3"/>
        <v>0</v>
      </c>
      <c r="Q32" s="170">
        <f t="shared" si="1"/>
        <v>0</v>
      </c>
    </row>
    <row r="33" spans="2:19" ht="15" customHeight="1" x14ac:dyDescent="0.2">
      <c r="B33" s="26"/>
      <c r="C33" s="34"/>
      <c r="D33" s="34"/>
      <c r="E33" s="83"/>
      <c r="F33" s="87"/>
      <c r="G33" s="77"/>
      <c r="H33" s="167"/>
      <c r="I33" s="224">
        <f t="shared" si="2"/>
        <v>0</v>
      </c>
      <c r="J33" s="77"/>
      <c r="K33" s="77"/>
      <c r="L33" s="167"/>
      <c r="M33" s="224">
        <f t="shared" si="0"/>
        <v>0</v>
      </c>
      <c r="N33" s="77"/>
      <c r="O33" s="167"/>
      <c r="P33" s="224">
        <f t="shared" si="3"/>
        <v>0</v>
      </c>
      <c r="Q33" s="170">
        <f t="shared" si="1"/>
        <v>0</v>
      </c>
    </row>
    <row r="34" spans="2:19" ht="15" customHeight="1" x14ac:dyDescent="0.2">
      <c r="B34" s="26"/>
      <c r="C34" s="34"/>
      <c r="D34" s="34"/>
      <c r="E34" s="83"/>
      <c r="F34" s="87"/>
      <c r="G34" s="77"/>
      <c r="H34" s="167"/>
      <c r="I34" s="224">
        <f t="shared" si="2"/>
        <v>0</v>
      </c>
      <c r="J34" s="77"/>
      <c r="K34" s="77"/>
      <c r="L34" s="167"/>
      <c r="M34" s="224">
        <f t="shared" si="0"/>
        <v>0</v>
      </c>
      <c r="N34" s="77"/>
      <c r="O34" s="167"/>
      <c r="P34" s="224">
        <f t="shared" si="3"/>
        <v>0</v>
      </c>
      <c r="Q34" s="170">
        <f t="shared" si="1"/>
        <v>0</v>
      </c>
    </row>
    <row r="35" spans="2:19" ht="15" customHeight="1" x14ac:dyDescent="0.2">
      <c r="B35" s="26"/>
      <c r="C35" s="34"/>
      <c r="D35" s="34"/>
      <c r="E35" s="83"/>
      <c r="F35" s="87"/>
      <c r="G35" s="77"/>
      <c r="H35" s="167"/>
      <c r="I35" s="224">
        <f t="shared" si="2"/>
        <v>0</v>
      </c>
      <c r="J35" s="77"/>
      <c r="K35" s="77"/>
      <c r="L35" s="167"/>
      <c r="M35" s="224">
        <f t="shared" si="0"/>
        <v>0</v>
      </c>
      <c r="N35" s="77"/>
      <c r="O35" s="167"/>
      <c r="P35" s="224">
        <f t="shared" si="3"/>
        <v>0</v>
      </c>
      <c r="Q35" s="170">
        <f t="shared" si="1"/>
        <v>0</v>
      </c>
    </row>
    <row r="36" spans="2:19" ht="15" customHeight="1" x14ac:dyDescent="0.2">
      <c r="B36" s="26"/>
      <c r="C36" s="34"/>
      <c r="D36" s="34"/>
      <c r="E36" s="83"/>
      <c r="F36" s="87"/>
      <c r="G36" s="77"/>
      <c r="H36" s="167"/>
      <c r="I36" s="224">
        <f t="shared" si="2"/>
        <v>0</v>
      </c>
      <c r="J36" s="77"/>
      <c r="K36" s="77"/>
      <c r="L36" s="167"/>
      <c r="M36" s="224">
        <f t="shared" si="0"/>
        <v>0</v>
      </c>
      <c r="N36" s="77"/>
      <c r="O36" s="167"/>
      <c r="P36" s="224">
        <f t="shared" si="3"/>
        <v>0</v>
      </c>
      <c r="Q36" s="170">
        <f t="shared" si="1"/>
        <v>0</v>
      </c>
    </row>
    <row r="37" spans="2:19" ht="15" customHeight="1" x14ac:dyDescent="0.2">
      <c r="B37" s="26"/>
      <c r="C37" s="34"/>
      <c r="D37" s="34"/>
      <c r="E37" s="84"/>
      <c r="F37" s="88"/>
      <c r="G37" s="77"/>
      <c r="H37" s="167"/>
      <c r="I37" s="224">
        <f t="shared" si="2"/>
        <v>0</v>
      </c>
      <c r="J37" s="77"/>
      <c r="K37" s="77"/>
      <c r="L37" s="167"/>
      <c r="M37" s="224">
        <f t="shared" si="0"/>
        <v>0</v>
      </c>
      <c r="N37" s="77"/>
      <c r="O37" s="167"/>
      <c r="P37" s="224">
        <f t="shared" si="3"/>
        <v>0</v>
      </c>
      <c r="Q37" s="170">
        <f t="shared" si="1"/>
        <v>0</v>
      </c>
    </row>
    <row r="38" spans="2:19" ht="15" customHeight="1" thickBot="1" x14ac:dyDescent="0.25">
      <c r="B38" s="12" t="s">
        <v>3</v>
      </c>
      <c r="C38" s="21"/>
      <c r="D38" s="21"/>
      <c r="E38" s="85"/>
      <c r="F38" s="89"/>
      <c r="G38" s="3">
        <f>SUM(G23:G37)</f>
        <v>0</v>
      </c>
      <c r="H38" s="168"/>
      <c r="I38" s="225">
        <f>SUM(I23:I37)</f>
        <v>0</v>
      </c>
      <c r="J38" s="3">
        <f>SUM(J23:J37)</f>
        <v>0</v>
      </c>
      <c r="K38" s="3"/>
      <c r="L38" s="168"/>
      <c r="M38" s="225">
        <f>SUM(M23:M37)</f>
        <v>0</v>
      </c>
      <c r="N38" s="3">
        <f>SUM(N23:N37)</f>
        <v>0</v>
      </c>
      <c r="O38" s="168"/>
      <c r="P38" s="225">
        <f>SUM(P23:P37)</f>
        <v>0</v>
      </c>
      <c r="Q38" s="218">
        <f>SUM(Q23:Q37)</f>
        <v>0</v>
      </c>
    </row>
    <row r="39" spans="2:19" ht="56.25" customHeight="1" thickBot="1" x14ac:dyDescent="0.25">
      <c r="B39" s="13"/>
      <c r="C39" s="18"/>
      <c r="D39" s="18"/>
      <c r="E39" s="18"/>
      <c r="F39" s="4"/>
      <c r="G39" s="5"/>
      <c r="H39" s="6"/>
      <c r="I39" s="4"/>
      <c r="J39" s="5"/>
      <c r="K39" s="5"/>
      <c r="L39" s="6"/>
      <c r="M39" s="4"/>
      <c r="N39" s="7"/>
      <c r="O39" s="6"/>
      <c r="P39" s="8"/>
      <c r="Q39" s="8"/>
      <c r="R39" s="8"/>
      <c r="S39" s="9"/>
    </row>
    <row r="40" spans="2:19" ht="15" customHeight="1" x14ac:dyDescent="0.25">
      <c r="B40" s="114" t="s">
        <v>93</v>
      </c>
      <c r="C40" s="115" t="s">
        <v>65</v>
      </c>
      <c r="D40" s="115" t="s">
        <v>66</v>
      </c>
      <c r="E40" s="116"/>
      <c r="F40" s="116"/>
      <c r="G40" s="116"/>
      <c r="H40" s="117"/>
      <c r="I40" s="35"/>
      <c r="J40" s="106" t="s">
        <v>64</v>
      </c>
      <c r="K40" s="107"/>
      <c r="L40" s="107"/>
      <c r="M40" s="107"/>
      <c r="N40" s="107"/>
      <c r="O40" s="107"/>
      <c r="P40" s="107"/>
      <c r="Q40" s="108"/>
    </row>
    <row r="41" spans="2:19" ht="15" customHeight="1" x14ac:dyDescent="0.25">
      <c r="B41" s="348"/>
      <c r="C41" s="350"/>
      <c r="D41" s="350"/>
      <c r="E41" s="119" t="s">
        <v>24</v>
      </c>
      <c r="F41" s="119" t="s">
        <v>9</v>
      </c>
      <c r="G41" s="119" t="s">
        <v>1</v>
      </c>
      <c r="H41" s="120"/>
      <c r="I41" s="19"/>
      <c r="J41" s="45"/>
      <c r="K41" s="164" t="s">
        <v>73</v>
      </c>
      <c r="L41" s="125"/>
      <c r="M41" s="125"/>
      <c r="N41" s="126"/>
      <c r="O41" s="126"/>
      <c r="P41" s="126"/>
      <c r="Q41" s="46"/>
      <c r="R41" s="8"/>
      <c r="S41" s="9"/>
    </row>
    <row r="42" spans="2:19" ht="23.25" customHeight="1" x14ac:dyDescent="0.25">
      <c r="B42" s="349"/>
      <c r="C42" s="351"/>
      <c r="D42" s="351"/>
      <c r="E42" s="121" t="s">
        <v>13</v>
      </c>
      <c r="F42" s="121" t="s">
        <v>10</v>
      </c>
      <c r="G42" s="121" t="s">
        <v>11</v>
      </c>
      <c r="H42" s="122" t="s">
        <v>1</v>
      </c>
      <c r="J42" s="163" t="s">
        <v>94</v>
      </c>
      <c r="K42" s="14"/>
      <c r="L42" s="14"/>
      <c r="M42" s="127" t="s">
        <v>20</v>
      </c>
      <c r="N42" s="44"/>
      <c r="O42" s="95" t="s">
        <v>71</v>
      </c>
      <c r="P42" s="95" t="s">
        <v>106</v>
      </c>
      <c r="Q42" s="11" t="s">
        <v>1</v>
      </c>
    </row>
    <row r="43" spans="2:19" ht="15" customHeight="1" x14ac:dyDescent="0.2">
      <c r="B43" s="352"/>
      <c r="C43" s="353"/>
      <c r="D43" s="354"/>
      <c r="E43" s="94"/>
      <c r="F43" s="220"/>
      <c r="G43" s="236"/>
      <c r="H43" s="237">
        <f t="shared" ref="H43:H52" si="4">G43*F43</f>
        <v>0</v>
      </c>
      <c r="J43" s="355"/>
      <c r="K43" s="356"/>
      <c r="L43" s="357"/>
      <c r="M43" s="194"/>
      <c r="N43" s="175"/>
      <c r="O43" s="220"/>
      <c r="P43" s="226"/>
      <c r="Q43" s="227">
        <f t="shared" ref="Q43:Q44" si="5">P43*O43</f>
        <v>0</v>
      </c>
    </row>
    <row r="44" spans="2:19" s="10" customFormat="1" ht="15" customHeight="1" x14ac:dyDescent="0.2">
      <c r="B44" s="358"/>
      <c r="C44" s="359"/>
      <c r="D44" s="360"/>
      <c r="E44" s="139"/>
      <c r="F44" s="221"/>
      <c r="G44" s="238"/>
      <c r="H44" s="233">
        <f t="shared" si="4"/>
        <v>0</v>
      </c>
      <c r="I44"/>
      <c r="J44" s="361"/>
      <c r="K44" s="362"/>
      <c r="L44" s="363"/>
      <c r="M44" s="176"/>
      <c r="N44" s="177"/>
      <c r="O44" s="173"/>
      <c r="P44" s="228"/>
      <c r="Q44" s="229">
        <f t="shared" si="5"/>
        <v>0</v>
      </c>
    </row>
    <row r="45" spans="2:19" s="10" customFormat="1" ht="15" customHeight="1" x14ac:dyDescent="0.25">
      <c r="B45" s="364" t="s">
        <v>88</v>
      </c>
      <c r="C45" s="365"/>
      <c r="D45" s="366"/>
      <c r="E45" s="138"/>
      <c r="F45" s="172"/>
      <c r="G45" s="239"/>
      <c r="H45" s="240">
        <f>SUM(H43:H44)</f>
        <v>0</v>
      </c>
      <c r="I45"/>
      <c r="J45" s="163" t="s">
        <v>95</v>
      </c>
      <c r="K45" s="14"/>
      <c r="L45" s="14"/>
      <c r="M45" s="178" t="s">
        <v>20</v>
      </c>
      <c r="N45" s="179"/>
      <c r="O45" s="180" t="s">
        <v>71</v>
      </c>
      <c r="P45" s="230" t="s">
        <v>106</v>
      </c>
      <c r="Q45" s="231" t="s">
        <v>1</v>
      </c>
    </row>
    <row r="46" spans="2:19" s="10" customFormat="1" ht="15" customHeight="1" x14ac:dyDescent="0.2">
      <c r="B46" s="367"/>
      <c r="C46" s="343"/>
      <c r="D46" s="344"/>
      <c r="E46" s="90"/>
      <c r="F46" s="173"/>
      <c r="G46" s="241"/>
      <c r="H46" s="242">
        <f t="shared" si="4"/>
        <v>0</v>
      </c>
      <c r="I46"/>
      <c r="J46" s="146"/>
      <c r="K46" s="147"/>
      <c r="L46" s="148"/>
      <c r="M46" s="194"/>
      <c r="N46" s="175"/>
      <c r="O46" s="220"/>
      <c r="P46" s="226"/>
      <c r="Q46" s="227">
        <f t="shared" ref="Q46:Q48" si="6">P46*O46</f>
        <v>0</v>
      </c>
    </row>
    <row r="47" spans="2:19" s="10" customFormat="1" ht="15" customHeight="1" x14ac:dyDescent="0.2">
      <c r="B47" s="358"/>
      <c r="C47" s="359"/>
      <c r="D47" s="360"/>
      <c r="E47" s="139"/>
      <c r="F47" s="171"/>
      <c r="G47" s="238"/>
      <c r="H47" s="233">
        <f t="shared" si="4"/>
        <v>0</v>
      </c>
      <c r="I47"/>
      <c r="J47" s="149"/>
      <c r="K47" s="150"/>
      <c r="L47" s="151"/>
      <c r="M47" s="176"/>
      <c r="N47" s="177"/>
      <c r="O47" s="173"/>
      <c r="P47" s="228"/>
      <c r="Q47" s="229">
        <f t="shared" si="6"/>
        <v>0</v>
      </c>
    </row>
    <row r="48" spans="2:19" s="10" customFormat="1" ht="15" customHeight="1" x14ac:dyDescent="0.2">
      <c r="B48" s="364" t="s">
        <v>89</v>
      </c>
      <c r="C48" s="365"/>
      <c r="D48" s="366"/>
      <c r="E48" s="138"/>
      <c r="F48" s="172"/>
      <c r="G48" s="239"/>
      <c r="H48" s="240">
        <f>SUM(H46:H47)</f>
        <v>0</v>
      </c>
      <c r="I48"/>
      <c r="J48" s="149"/>
      <c r="K48" s="150"/>
      <c r="L48" s="151"/>
      <c r="M48" s="182"/>
      <c r="N48" s="183"/>
      <c r="O48" s="171"/>
      <c r="P48" s="232"/>
      <c r="Q48" s="227">
        <f t="shared" si="6"/>
        <v>0</v>
      </c>
    </row>
    <row r="49" spans="2:19" ht="15" customHeight="1" thickBot="1" x14ac:dyDescent="0.25">
      <c r="B49" s="342"/>
      <c r="C49" s="343"/>
      <c r="D49" s="344"/>
      <c r="E49" s="80"/>
      <c r="F49" s="173"/>
      <c r="G49" s="241"/>
      <c r="H49" s="242">
        <f t="shared" si="4"/>
        <v>0</v>
      </c>
      <c r="J49" s="145" t="s">
        <v>3</v>
      </c>
      <c r="K49" s="142"/>
      <c r="L49" s="142"/>
      <c r="M49" s="345"/>
      <c r="N49" s="346"/>
      <c r="O49" s="346"/>
      <c r="P49" s="347"/>
      <c r="Q49" s="219">
        <f>SUM(Q40:Q48)</f>
        <v>0</v>
      </c>
    </row>
    <row r="50" spans="2:19" ht="15" customHeight="1" x14ac:dyDescent="0.2">
      <c r="B50" s="342"/>
      <c r="C50" s="343"/>
      <c r="D50" s="344"/>
      <c r="E50" s="80"/>
      <c r="F50" s="173"/>
      <c r="G50" s="241"/>
      <c r="H50" s="242">
        <f t="shared" si="4"/>
        <v>0</v>
      </c>
      <c r="J50" s="18"/>
      <c r="K50" s="18"/>
      <c r="L50" s="18"/>
      <c r="M50" s="18"/>
      <c r="N50" s="159"/>
      <c r="O50" s="159"/>
      <c r="P50" s="159"/>
      <c r="Q50" s="184"/>
    </row>
    <row r="51" spans="2:19" ht="15" customHeight="1" thickBot="1" x14ac:dyDescent="0.25">
      <c r="B51" s="342"/>
      <c r="C51" s="343"/>
      <c r="D51" s="344"/>
      <c r="E51" s="80"/>
      <c r="F51" s="173"/>
      <c r="G51" s="241"/>
      <c r="H51" s="242">
        <f t="shared" si="4"/>
        <v>0</v>
      </c>
      <c r="J51" s="368"/>
      <c r="K51" s="369"/>
      <c r="L51" s="369"/>
      <c r="M51" s="152"/>
      <c r="N51" s="153"/>
      <c r="O51" s="154"/>
      <c r="P51" s="155"/>
      <c r="Q51" s="156"/>
    </row>
    <row r="52" spans="2:19" ht="15" customHeight="1" x14ac:dyDescent="0.25">
      <c r="B52" s="358"/>
      <c r="C52" s="359"/>
      <c r="D52" s="360"/>
      <c r="E52" s="139"/>
      <c r="F52" s="171"/>
      <c r="G52" s="238"/>
      <c r="H52" s="233">
        <f t="shared" si="4"/>
        <v>0</v>
      </c>
      <c r="J52" s="212" t="s">
        <v>96</v>
      </c>
      <c r="K52" s="213"/>
      <c r="L52" s="213"/>
      <c r="M52" s="213"/>
      <c r="N52" s="213"/>
      <c r="O52" s="213"/>
      <c r="P52" s="213"/>
      <c r="Q52" s="214"/>
    </row>
    <row r="53" spans="2:19" ht="15" customHeight="1" x14ac:dyDescent="0.25">
      <c r="B53" s="364" t="s">
        <v>90</v>
      </c>
      <c r="C53" s="365"/>
      <c r="D53" s="366"/>
      <c r="E53" s="138"/>
      <c r="F53" s="172"/>
      <c r="G53" s="239"/>
      <c r="H53" s="240">
        <f>SUM(H49:H52)</f>
        <v>0</v>
      </c>
      <c r="J53" s="45"/>
      <c r="K53" s="125" t="s">
        <v>107</v>
      </c>
      <c r="L53" s="157"/>
      <c r="M53" s="125"/>
      <c r="N53" s="126"/>
      <c r="O53" s="126"/>
      <c r="P53" s="126"/>
      <c r="Q53" s="46"/>
    </row>
    <row r="54" spans="2:19" ht="15" customHeight="1" thickBot="1" x14ac:dyDescent="0.3">
      <c r="B54" s="373" t="s">
        <v>3</v>
      </c>
      <c r="C54" s="374"/>
      <c r="D54" s="375"/>
      <c r="E54" s="123"/>
      <c r="F54" s="174"/>
      <c r="G54" s="243"/>
      <c r="H54" s="245">
        <f>SUM(H45,H48,H53)</f>
        <v>0</v>
      </c>
      <c r="J54" s="158"/>
      <c r="K54" s="14"/>
      <c r="L54" s="14"/>
      <c r="M54" s="127"/>
      <c r="N54" s="44"/>
      <c r="O54" s="95"/>
      <c r="P54" s="95"/>
      <c r="Q54" s="11"/>
    </row>
    <row r="55" spans="2:19" ht="15" customHeight="1" x14ac:dyDescent="0.25">
      <c r="G55" s="244"/>
      <c r="H55" s="244"/>
      <c r="J55" s="222" t="s">
        <v>94</v>
      </c>
      <c r="K55" s="185"/>
      <c r="L55" s="185"/>
      <c r="M55" s="178" t="s">
        <v>20</v>
      </c>
      <c r="N55" s="179"/>
      <c r="O55" s="180" t="s">
        <v>71</v>
      </c>
      <c r="P55" s="180" t="s">
        <v>106</v>
      </c>
      <c r="Q55" s="181" t="s">
        <v>1</v>
      </c>
    </row>
    <row r="56" spans="2:19" ht="15" customHeight="1" x14ac:dyDescent="0.25">
      <c r="B56" s="160"/>
      <c r="C56" s="161"/>
      <c r="D56" s="161"/>
      <c r="E56" s="161"/>
      <c r="F56" s="370"/>
      <c r="G56" s="370"/>
      <c r="H56" s="370"/>
      <c r="I56" s="162"/>
      <c r="J56" s="144"/>
      <c r="K56" s="186"/>
      <c r="L56" s="187"/>
      <c r="M56" s="194"/>
      <c r="N56" s="175"/>
      <c r="O56" s="220"/>
      <c r="P56" s="226"/>
      <c r="Q56" s="227">
        <f t="shared" ref="Q56" si="7">P56*O56</f>
        <v>0</v>
      </c>
    </row>
    <row r="57" spans="2:19" ht="15" customHeight="1" x14ac:dyDescent="0.2">
      <c r="J57" s="143"/>
      <c r="K57" s="188"/>
      <c r="L57" s="189"/>
      <c r="M57" s="176"/>
      <c r="N57" s="177"/>
      <c r="O57" s="173"/>
      <c r="P57" s="228"/>
      <c r="Q57" s="229"/>
    </row>
    <row r="58" spans="2:19" ht="15" customHeight="1" x14ac:dyDescent="0.2">
      <c r="J58" s="143"/>
      <c r="K58" s="188"/>
      <c r="L58" s="189"/>
      <c r="M58" s="182"/>
      <c r="N58" s="183"/>
      <c r="O58" s="171"/>
      <c r="P58" s="232"/>
      <c r="Q58" s="233"/>
    </row>
    <row r="59" spans="2:19" ht="15" customHeight="1" x14ac:dyDescent="0.25">
      <c r="J59" s="222" t="s">
        <v>95</v>
      </c>
      <c r="K59" s="185"/>
      <c r="L59" s="185"/>
      <c r="M59" s="178" t="s">
        <v>20</v>
      </c>
      <c r="N59" s="179"/>
      <c r="O59" s="180" t="s">
        <v>71</v>
      </c>
      <c r="P59" s="230" t="s">
        <v>106</v>
      </c>
      <c r="Q59" s="231" t="s">
        <v>1</v>
      </c>
    </row>
    <row r="60" spans="2:19" ht="15" customHeight="1" x14ac:dyDescent="0.2">
      <c r="J60" s="144"/>
      <c r="K60" s="186"/>
      <c r="L60" s="187"/>
      <c r="M60" s="194"/>
      <c r="N60" s="175"/>
      <c r="O60" s="220"/>
      <c r="P60" s="226"/>
      <c r="Q60" s="227">
        <f t="shared" ref="Q60:Q62" si="8">P60*O60</f>
        <v>0</v>
      </c>
    </row>
    <row r="61" spans="2:19" ht="15" customHeight="1" x14ac:dyDescent="0.2">
      <c r="J61" s="143"/>
      <c r="K61" s="188"/>
      <c r="L61" s="189"/>
      <c r="M61" s="176"/>
      <c r="N61" s="177"/>
      <c r="O61" s="173"/>
      <c r="P61" s="228"/>
      <c r="Q61" s="229">
        <f t="shared" si="8"/>
        <v>0</v>
      </c>
    </row>
    <row r="62" spans="2:19" ht="15" customHeight="1" x14ac:dyDescent="0.2">
      <c r="J62" s="143"/>
      <c r="K62" s="188"/>
      <c r="L62" s="189"/>
      <c r="M62" s="182"/>
      <c r="N62" s="183"/>
      <c r="O62" s="171"/>
      <c r="P62" s="232"/>
      <c r="Q62" s="227">
        <f t="shared" si="8"/>
        <v>0</v>
      </c>
    </row>
    <row r="63" spans="2:19" ht="15" customHeight="1" thickBot="1" x14ac:dyDescent="0.25">
      <c r="J63" s="145" t="s">
        <v>3</v>
      </c>
      <c r="K63" s="190"/>
      <c r="L63" s="190"/>
      <c r="M63" s="190"/>
      <c r="N63" s="191"/>
      <c r="O63" s="191"/>
      <c r="P63" s="234"/>
      <c r="Q63" s="235">
        <f>SUM(Q52:Q62)</f>
        <v>0</v>
      </c>
    </row>
    <row r="64" spans="2:19" ht="15" customHeight="1" x14ac:dyDescent="0.2">
      <c r="J64" s="18"/>
      <c r="K64" s="18"/>
      <c r="L64" s="18"/>
      <c r="M64" s="18"/>
      <c r="N64" s="159"/>
      <c r="O64" s="159"/>
      <c r="P64" s="159"/>
      <c r="Q64" s="159"/>
      <c r="R64" s="159"/>
      <c r="S64" s="159"/>
    </row>
    <row r="65" spans="2:19" ht="15" customHeight="1" thickBot="1" x14ac:dyDescent="0.25">
      <c r="J65" s="18"/>
      <c r="K65" s="18"/>
      <c r="L65" s="18"/>
      <c r="M65" s="18"/>
      <c r="N65" s="159"/>
      <c r="O65" s="159"/>
      <c r="P65" s="159"/>
      <c r="Q65" s="159"/>
      <c r="R65" s="159"/>
      <c r="S65" s="159"/>
    </row>
    <row r="66" spans="2:19" ht="15" customHeight="1" thickBot="1" x14ac:dyDescent="0.3">
      <c r="B66" s="112" t="s">
        <v>7</v>
      </c>
      <c r="C66" s="113"/>
      <c r="D66" s="113"/>
      <c r="E66" s="113"/>
      <c r="F66" s="371">
        <f>$Q$38+$Q$63+$H$54+Q63+Q49</f>
        <v>0</v>
      </c>
      <c r="G66" s="371"/>
      <c r="H66" s="372"/>
      <c r="J66" s="18"/>
      <c r="K66" s="18"/>
      <c r="L66" s="18"/>
      <c r="M66" s="18"/>
      <c r="N66" s="159"/>
      <c r="O66" s="159"/>
      <c r="P66" s="159"/>
      <c r="Q66" s="159"/>
      <c r="R66" s="159"/>
      <c r="S66" s="159"/>
    </row>
    <row r="67" spans="2:19" ht="15" customHeight="1" x14ac:dyDescent="0.2">
      <c r="J67" s="18"/>
      <c r="K67" s="18"/>
      <c r="L67" s="18"/>
      <c r="M67" s="18"/>
      <c r="N67" s="159"/>
      <c r="O67" s="159"/>
      <c r="P67" s="159"/>
      <c r="Q67" s="159"/>
      <c r="R67" s="159"/>
      <c r="S67" s="159"/>
    </row>
    <row r="68" spans="2:19" ht="15" customHeight="1" thickBot="1" x14ac:dyDescent="0.25"/>
    <row r="69" spans="2:19" ht="15" customHeight="1" x14ac:dyDescent="0.25">
      <c r="B69" s="109" t="s">
        <v>19</v>
      </c>
      <c r="C69" s="110"/>
      <c r="D69" s="110"/>
      <c r="E69" s="111"/>
      <c r="F69" s="111"/>
      <c r="G69" s="111"/>
      <c r="H69" s="111"/>
      <c r="I69" s="111"/>
      <c r="J69" s="111"/>
      <c r="K69" s="376"/>
      <c r="L69" s="377"/>
      <c r="N69" s="378" t="s">
        <v>91</v>
      </c>
      <c r="O69" s="379"/>
      <c r="P69" s="380"/>
    </row>
    <row r="70" spans="2:19" ht="15" customHeight="1" x14ac:dyDescent="0.2">
      <c r="B70" s="387" t="s">
        <v>14</v>
      </c>
      <c r="C70" s="388"/>
      <c r="D70" s="388"/>
      <c r="E70" s="388"/>
      <c r="F70" s="388"/>
      <c r="G70" s="388"/>
      <c r="H70" s="389"/>
      <c r="I70" s="118" t="s">
        <v>15</v>
      </c>
      <c r="J70" s="124" t="s">
        <v>29</v>
      </c>
      <c r="K70" s="390" t="s">
        <v>28</v>
      </c>
      <c r="L70" s="391"/>
      <c r="N70" s="381"/>
      <c r="O70" s="382"/>
      <c r="P70" s="383"/>
    </row>
    <row r="71" spans="2:19" ht="15" customHeight="1" x14ac:dyDescent="0.2">
      <c r="B71" s="392"/>
      <c r="C71" s="393"/>
      <c r="D71" s="393"/>
      <c r="E71" s="393"/>
      <c r="F71" s="393"/>
      <c r="G71" s="393"/>
      <c r="H71" s="394"/>
      <c r="I71" s="91"/>
      <c r="J71" s="47"/>
      <c r="K71" s="395"/>
      <c r="L71" s="396"/>
      <c r="N71" s="381"/>
      <c r="O71" s="382"/>
      <c r="P71" s="383"/>
    </row>
    <row r="72" spans="2:19" ht="15" customHeight="1" x14ac:dyDescent="0.2">
      <c r="B72" s="192"/>
      <c r="C72" s="78"/>
      <c r="D72" s="78"/>
      <c r="E72" s="78"/>
      <c r="F72" s="78"/>
      <c r="G72" s="78"/>
      <c r="H72" s="79"/>
      <c r="I72" s="193"/>
      <c r="J72" s="48"/>
      <c r="K72" s="397"/>
      <c r="L72" s="398"/>
      <c r="N72" s="381"/>
      <c r="O72" s="382"/>
      <c r="P72" s="383"/>
    </row>
    <row r="73" spans="2:19" ht="15" customHeight="1" x14ac:dyDescent="0.2">
      <c r="B73" s="192"/>
      <c r="C73" s="78"/>
      <c r="D73" s="78"/>
      <c r="E73" s="78"/>
      <c r="F73" s="78"/>
      <c r="G73" s="78"/>
      <c r="H73" s="79"/>
      <c r="I73" s="93"/>
      <c r="J73" s="48"/>
      <c r="K73" s="397"/>
      <c r="L73" s="398"/>
      <c r="N73" s="381"/>
      <c r="O73" s="382"/>
      <c r="P73" s="383"/>
    </row>
    <row r="74" spans="2:19" ht="15" customHeight="1" x14ac:dyDescent="0.2">
      <c r="B74" s="92"/>
      <c r="C74" s="78"/>
      <c r="D74" s="78"/>
      <c r="E74" s="78"/>
      <c r="F74" s="78"/>
      <c r="G74" s="78"/>
      <c r="H74" s="79"/>
      <c r="I74" s="93"/>
      <c r="J74" s="48"/>
      <c r="K74" s="397"/>
      <c r="L74" s="398"/>
      <c r="N74" s="381"/>
      <c r="O74" s="382"/>
      <c r="P74" s="383"/>
    </row>
    <row r="75" spans="2:19" ht="15" customHeight="1" x14ac:dyDescent="0.2">
      <c r="B75" s="404"/>
      <c r="C75" s="405"/>
      <c r="D75" s="405"/>
      <c r="E75" s="405"/>
      <c r="F75" s="405"/>
      <c r="G75" s="405"/>
      <c r="H75" s="406"/>
      <c r="I75" s="48"/>
      <c r="J75" s="48"/>
      <c r="K75" s="397"/>
      <c r="L75" s="398"/>
      <c r="N75" s="381"/>
      <c r="O75" s="382"/>
      <c r="P75" s="383"/>
    </row>
    <row r="76" spans="2:19" ht="15" customHeight="1" x14ac:dyDescent="0.2">
      <c r="B76" s="404"/>
      <c r="C76" s="405"/>
      <c r="D76" s="405"/>
      <c r="E76" s="405"/>
      <c r="F76" s="405"/>
      <c r="G76" s="405"/>
      <c r="H76" s="406"/>
      <c r="I76" s="48"/>
      <c r="J76" s="48"/>
      <c r="K76" s="397"/>
      <c r="L76" s="398"/>
      <c r="N76" s="381"/>
      <c r="O76" s="382"/>
      <c r="P76" s="383"/>
    </row>
    <row r="77" spans="2:19" ht="15" customHeight="1" x14ac:dyDescent="0.2">
      <c r="B77" s="81"/>
      <c r="C77" s="78"/>
      <c r="D77" s="78"/>
      <c r="E77" s="78"/>
      <c r="F77" s="78"/>
      <c r="G77" s="78"/>
      <c r="H77" s="79"/>
      <c r="I77" s="48"/>
      <c r="J77" s="48"/>
      <c r="K77" s="397"/>
      <c r="L77" s="398"/>
      <c r="N77" s="384"/>
      <c r="O77" s="385"/>
      <c r="P77" s="386"/>
    </row>
    <row r="78" spans="2:19" ht="15" customHeight="1" x14ac:dyDescent="0.2">
      <c r="B78" s="81"/>
      <c r="C78" s="78"/>
      <c r="D78" s="78"/>
      <c r="E78" s="78"/>
      <c r="F78" s="78"/>
      <c r="G78" s="78"/>
      <c r="H78" s="79"/>
      <c r="I78" s="48"/>
      <c r="J78" s="48"/>
      <c r="K78" s="397"/>
      <c r="L78" s="398"/>
    </row>
    <row r="79" spans="2:19" ht="15" customHeight="1" thickBot="1" x14ac:dyDescent="0.25">
      <c r="B79" s="399"/>
      <c r="C79" s="400"/>
      <c r="D79" s="400"/>
      <c r="E79" s="400"/>
      <c r="F79" s="400"/>
      <c r="G79" s="400"/>
      <c r="H79" s="401"/>
      <c r="I79" s="76"/>
      <c r="J79" s="76"/>
      <c r="K79" s="402"/>
      <c r="L79" s="403"/>
    </row>
    <row r="80" spans="2:19" ht="15" customHeight="1" x14ac:dyDescent="0.2"/>
  </sheetData>
  <mergeCells count="69">
    <mergeCell ref="R21:T22"/>
    <mergeCell ref="O9:Q9"/>
    <mergeCell ref="O10:Q10"/>
    <mergeCell ref="E9:J9"/>
    <mergeCell ref="E6:J6"/>
    <mergeCell ref="O6:Q6"/>
    <mergeCell ref="E7:J7"/>
    <mergeCell ref="O7:Q7"/>
    <mergeCell ref="E8:J8"/>
    <mergeCell ref="O8:Q8"/>
    <mergeCell ref="E10:J10"/>
    <mergeCell ref="O11:Q11"/>
    <mergeCell ref="O12:Q12"/>
    <mergeCell ref="O13:Q13"/>
    <mergeCell ref="O14:Q14"/>
    <mergeCell ref="E11:J11"/>
    <mergeCell ref="B2:C3"/>
    <mergeCell ref="E4:J4"/>
    <mergeCell ref="O4:Q4"/>
    <mergeCell ref="E5:J5"/>
    <mergeCell ref="O5:Q5"/>
    <mergeCell ref="E12:J12"/>
    <mergeCell ref="O16:Q16"/>
    <mergeCell ref="O18:Q18"/>
    <mergeCell ref="B20:B21"/>
    <mergeCell ref="C20:C21"/>
    <mergeCell ref="D20:D21"/>
    <mergeCell ref="O17:Q17"/>
    <mergeCell ref="B41:B42"/>
    <mergeCell ref="C41:C42"/>
    <mergeCell ref="D41:D42"/>
    <mergeCell ref="E13:J18"/>
    <mergeCell ref="E20:E21"/>
    <mergeCell ref="F20:F21"/>
    <mergeCell ref="B46:D46"/>
    <mergeCell ref="B47:D47"/>
    <mergeCell ref="J51:L51"/>
    <mergeCell ref="B48:D48"/>
    <mergeCell ref="B43:D43"/>
    <mergeCell ref="J43:L43"/>
    <mergeCell ref="B44:D44"/>
    <mergeCell ref="J44:L44"/>
    <mergeCell ref="B45:D45"/>
    <mergeCell ref="B52:D52"/>
    <mergeCell ref="B53:D53"/>
    <mergeCell ref="B49:D49"/>
    <mergeCell ref="B50:D50"/>
    <mergeCell ref="B51:D51"/>
    <mergeCell ref="K70:L70"/>
    <mergeCell ref="N69:P77"/>
    <mergeCell ref="K77:L77"/>
    <mergeCell ref="K73:L73"/>
    <mergeCell ref="K74:L74"/>
    <mergeCell ref="M49:P49"/>
    <mergeCell ref="F66:H66"/>
    <mergeCell ref="K78:L78"/>
    <mergeCell ref="B79:H79"/>
    <mergeCell ref="K79:L79"/>
    <mergeCell ref="B71:H71"/>
    <mergeCell ref="K71:L71"/>
    <mergeCell ref="B75:H75"/>
    <mergeCell ref="K75:L75"/>
    <mergeCell ref="B76:H76"/>
    <mergeCell ref="K76:L76"/>
    <mergeCell ref="K72:L72"/>
    <mergeCell ref="B54:D54"/>
    <mergeCell ref="F56:H56"/>
    <mergeCell ref="K69:L69"/>
    <mergeCell ref="B70:H70"/>
  </mergeCells>
  <printOptions horizontalCentered="1" verticalCentered="1"/>
  <pageMargins left="0.3" right="0.3" top="0.3" bottom="0.3" header="0.3" footer="0.3"/>
  <pageSetup scale="46" orientation="landscape" cellComments="atEnd"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B1:X80"/>
  <sheetViews>
    <sheetView showGridLines="0" zoomScale="85" zoomScaleNormal="85" zoomScaleSheetLayoutView="80" workbookViewId="0">
      <selection activeCell="B27" sqref="B27"/>
    </sheetView>
  </sheetViews>
  <sheetFormatPr defaultRowHeight="12.75" x14ac:dyDescent="0.2"/>
  <cols>
    <col min="2" max="2" width="63.85546875" customWidth="1"/>
    <col min="3" max="3" width="22.5703125" customWidth="1"/>
    <col min="4" max="4" width="20.85546875" customWidth="1"/>
    <col min="5" max="5" width="9.140625" customWidth="1"/>
    <col min="6" max="6" width="12.42578125" customWidth="1"/>
    <col min="7" max="7" width="10.7109375" customWidth="1"/>
    <col min="8" max="8" width="14.140625" customWidth="1"/>
    <col min="9" max="9" width="15.7109375" customWidth="1"/>
    <col min="10" max="10" width="10.7109375" customWidth="1"/>
    <col min="11" max="11" width="7.85546875" customWidth="1"/>
    <col min="12" max="12" width="13.140625" customWidth="1"/>
    <col min="13" max="13" width="15.7109375" customWidth="1"/>
    <col min="14" max="14" width="21.85546875" customWidth="1"/>
    <col min="15" max="15" width="13.140625" customWidth="1"/>
    <col min="16" max="17" width="15.7109375" customWidth="1"/>
    <col min="18" max="18" width="26.42578125" customWidth="1"/>
    <col min="19" max="19" width="12.28515625" bestFit="1" customWidth="1"/>
  </cols>
  <sheetData>
    <row r="1" spans="2:24" ht="13.5" thickBot="1" x14ac:dyDescent="0.25"/>
    <row r="2" spans="2:24" ht="23.25" customHeight="1" x14ac:dyDescent="0.35">
      <c r="B2" s="313" t="s">
        <v>92</v>
      </c>
      <c r="C2" s="314"/>
      <c r="D2" s="43"/>
      <c r="E2" s="98" t="s">
        <v>62</v>
      </c>
      <c r="F2" s="99"/>
      <c r="G2" s="99"/>
      <c r="H2" s="99"/>
      <c r="I2" s="99"/>
      <c r="J2" s="140"/>
      <c r="K2" s="10"/>
      <c r="L2" s="98" t="s">
        <v>74</v>
      </c>
      <c r="M2" s="99"/>
      <c r="N2" s="100"/>
      <c r="O2" s="100"/>
      <c r="P2" s="100"/>
      <c r="Q2" s="101"/>
      <c r="R2" s="16"/>
    </row>
    <row r="3" spans="2:24" ht="21" customHeight="1" x14ac:dyDescent="0.25">
      <c r="B3" s="315"/>
      <c r="C3" s="316"/>
      <c r="D3" s="10"/>
      <c r="E3" s="102" t="s">
        <v>74</v>
      </c>
      <c r="F3" s="103"/>
      <c r="G3" s="103"/>
      <c r="H3" s="103"/>
      <c r="I3" s="103"/>
      <c r="J3" s="141"/>
      <c r="K3" s="10"/>
      <c r="L3" s="37" t="s">
        <v>16</v>
      </c>
      <c r="M3" s="36"/>
      <c r="N3" s="36"/>
      <c r="O3" s="36" t="s">
        <v>58</v>
      </c>
      <c r="P3" s="10"/>
      <c r="Q3" s="38"/>
      <c r="R3" s="22"/>
      <c r="S3" s="22"/>
      <c r="U3" s="22"/>
      <c r="V3" s="16"/>
      <c r="W3" s="16"/>
      <c r="X3" s="16"/>
    </row>
    <row r="4" spans="2:24" ht="18" customHeight="1" x14ac:dyDescent="0.25">
      <c r="B4" s="62"/>
      <c r="C4" s="38"/>
      <c r="D4" s="28"/>
      <c r="E4" s="308" t="s">
        <v>60</v>
      </c>
      <c r="F4" s="309"/>
      <c r="G4" s="309"/>
      <c r="H4" s="309"/>
      <c r="I4" s="309"/>
      <c r="J4" s="310"/>
      <c r="K4" s="10"/>
      <c r="L4" s="37" t="s">
        <v>75</v>
      </c>
      <c r="M4" s="10"/>
      <c r="N4" s="96" t="s">
        <v>80</v>
      </c>
      <c r="O4" s="317" t="s">
        <v>102</v>
      </c>
      <c r="P4" s="317"/>
      <c r="Q4" s="318"/>
      <c r="R4" s="15"/>
      <c r="S4" s="15"/>
      <c r="U4" s="15"/>
      <c r="V4" s="15"/>
      <c r="W4" s="16"/>
      <c r="X4" s="16"/>
    </row>
    <row r="5" spans="2:24" ht="18" customHeight="1" x14ac:dyDescent="0.25">
      <c r="B5" s="63" t="s">
        <v>52</v>
      </c>
      <c r="C5" s="64"/>
      <c r="D5" s="28"/>
      <c r="E5" s="319" t="s">
        <v>109</v>
      </c>
      <c r="F5" s="320"/>
      <c r="G5" s="320"/>
      <c r="H5" s="320"/>
      <c r="I5" s="320"/>
      <c r="J5" s="321"/>
      <c r="K5" s="10"/>
      <c r="L5" s="37" t="s">
        <v>76</v>
      </c>
      <c r="M5" s="10"/>
      <c r="N5" s="96" t="s">
        <v>79</v>
      </c>
      <c r="O5" s="311" t="s">
        <v>102</v>
      </c>
      <c r="P5" s="311"/>
      <c r="Q5" s="312"/>
      <c r="R5" s="15"/>
      <c r="S5" s="15"/>
      <c r="U5" s="15"/>
      <c r="V5" s="15"/>
      <c r="W5" s="16"/>
      <c r="X5" s="16"/>
    </row>
    <row r="6" spans="2:24" ht="18" x14ac:dyDescent="0.25">
      <c r="B6" s="65" t="s">
        <v>54</v>
      </c>
      <c r="C6" s="66"/>
      <c r="D6" s="30"/>
      <c r="E6" s="308" t="s">
        <v>63</v>
      </c>
      <c r="F6" s="309"/>
      <c r="G6" s="309"/>
      <c r="H6" s="309"/>
      <c r="I6" s="309"/>
      <c r="J6" s="310"/>
      <c r="K6" s="10"/>
      <c r="L6" s="40" t="s">
        <v>77</v>
      </c>
      <c r="M6" s="10"/>
      <c r="N6" s="10"/>
      <c r="O6" s="311"/>
      <c r="P6" s="311"/>
      <c r="Q6" s="312"/>
      <c r="R6" s="15"/>
      <c r="S6" s="15"/>
      <c r="U6" s="15"/>
      <c r="V6" s="15"/>
      <c r="W6" s="16"/>
      <c r="X6" s="16"/>
    </row>
    <row r="7" spans="2:24" ht="18" customHeight="1" x14ac:dyDescent="0.25">
      <c r="B7" s="65" t="s">
        <v>56</v>
      </c>
      <c r="C7" s="66"/>
      <c r="D7" s="30"/>
      <c r="E7" s="319" t="s">
        <v>65</v>
      </c>
      <c r="F7" s="320"/>
      <c r="G7" s="320"/>
      <c r="H7" s="320"/>
      <c r="I7" s="320"/>
      <c r="J7" s="321"/>
      <c r="K7" s="10"/>
      <c r="L7" s="40" t="s">
        <v>82</v>
      </c>
      <c r="M7" s="10"/>
      <c r="N7" s="97" t="s">
        <v>81</v>
      </c>
      <c r="O7" s="311" t="s">
        <v>102</v>
      </c>
      <c r="P7" s="311"/>
      <c r="Q7" s="312"/>
      <c r="R7" s="15"/>
      <c r="S7" s="15"/>
      <c r="U7" s="15"/>
      <c r="V7" s="15"/>
      <c r="W7" s="16"/>
      <c r="X7" s="16"/>
    </row>
    <row r="8" spans="2:24" ht="18" customHeight="1" x14ac:dyDescent="0.25">
      <c r="B8" s="65" t="s">
        <v>53</v>
      </c>
      <c r="C8" s="68"/>
      <c r="D8" s="30"/>
      <c r="E8" s="308" t="s">
        <v>67</v>
      </c>
      <c r="F8" s="309"/>
      <c r="G8" s="309"/>
      <c r="H8" s="309"/>
      <c r="I8" s="309"/>
      <c r="J8" s="310"/>
      <c r="K8" s="10"/>
      <c r="L8" s="37" t="s">
        <v>111</v>
      </c>
      <c r="M8" s="10"/>
      <c r="N8" s="96" t="s">
        <v>83</v>
      </c>
      <c r="O8" s="311" t="s">
        <v>102</v>
      </c>
      <c r="P8" s="311"/>
      <c r="Q8" s="312"/>
      <c r="R8" s="15"/>
      <c r="S8" s="15"/>
      <c r="U8" s="15"/>
      <c r="V8" s="15"/>
      <c r="W8" s="16"/>
      <c r="X8" s="16"/>
    </row>
    <row r="9" spans="2:24" ht="18.75" customHeight="1" x14ac:dyDescent="0.25">
      <c r="B9" s="65" t="s">
        <v>55</v>
      </c>
      <c r="C9" s="68"/>
      <c r="D9" s="30"/>
      <c r="E9" s="319" t="s">
        <v>100</v>
      </c>
      <c r="F9" s="320"/>
      <c r="G9" s="320"/>
      <c r="H9" s="320"/>
      <c r="I9" s="320"/>
      <c r="J9" s="321"/>
      <c r="K9" s="10"/>
      <c r="L9" s="37" t="s">
        <v>84</v>
      </c>
      <c r="M9" s="10"/>
      <c r="N9" s="36"/>
      <c r="O9" s="311"/>
      <c r="P9" s="311"/>
      <c r="Q9" s="312"/>
      <c r="R9" s="16"/>
      <c r="S9" s="16"/>
      <c r="U9" s="16"/>
      <c r="V9" s="16"/>
      <c r="W9" s="16"/>
      <c r="X9" s="16"/>
    </row>
    <row r="10" spans="2:24" ht="18" customHeight="1" x14ac:dyDescent="0.25">
      <c r="B10" s="70" t="s">
        <v>87</v>
      </c>
      <c r="C10" s="68"/>
      <c r="D10" s="266"/>
      <c r="E10" s="308" t="s">
        <v>68</v>
      </c>
      <c r="F10" s="309"/>
      <c r="G10" s="309"/>
      <c r="H10" s="309"/>
      <c r="I10" s="309"/>
      <c r="J10" s="310"/>
      <c r="K10" s="10"/>
      <c r="L10" s="37" t="s">
        <v>85</v>
      </c>
      <c r="M10" s="10"/>
      <c r="N10" s="36"/>
      <c r="O10" s="311"/>
      <c r="P10" s="311"/>
      <c r="Q10" s="312"/>
    </row>
    <row r="11" spans="2:24" ht="18.75" customHeight="1" x14ac:dyDescent="0.25">
      <c r="B11" s="70" t="s">
        <v>22</v>
      </c>
      <c r="C11" s="68"/>
      <c r="D11" s="28"/>
      <c r="E11" s="319" t="s">
        <v>70</v>
      </c>
      <c r="F11" s="320"/>
      <c r="G11" s="320"/>
      <c r="H11" s="320"/>
      <c r="I11" s="320"/>
      <c r="J11" s="321"/>
      <c r="K11" s="10"/>
      <c r="L11" s="37" t="s">
        <v>26</v>
      </c>
      <c r="M11" s="10"/>
      <c r="N11" s="36"/>
      <c r="O11" s="311" t="s">
        <v>102</v>
      </c>
      <c r="P11" s="311"/>
      <c r="Q11" s="312"/>
    </row>
    <row r="12" spans="2:24" ht="18.75" customHeight="1" x14ac:dyDescent="0.25">
      <c r="B12" s="65" t="s">
        <v>21</v>
      </c>
      <c r="C12" s="267"/>
      <c r="D12" s="30"/>
      <c r="E12" s="322" t="s">
        <v>101</v>
      </c>
      <c r="F12" s="323"/>
      <c r="G12" s="323"/>
      <c r="H12" s="323"/>
      <c r="I12" s="323"/>
      <c r="J12" s="324"/>
      <c r="K12" s="10"/>
      <c r="L12" s="37" t="s">
        <v>27</v>
      </c>
      <c r="M12" s="10"/>
      <c r="N12" s="36"/>
      <c r="O12" s="311"/>
      <c r="P12" s="311"/>
      <c r="Q12" s="312"/>
    </row>
    <row r="13" spans="2:24" ht="18" customHeight="1" x14ac:dyDescent="0.25">
      <c r="B13" s="70" t="s">
        <v>97</v>
      </c>
      <c r="C13" s="66"/>
      <c r="D13" s="31"/>
      <c r="E13" s="327" t="s">
        <v>99</v>
      </c>
      <c r="F13" s="309"/>
      <c r="G13" s="309"/>
      <c r="H13" s="309"/>
      <c r="I13" s="309"/>
      <c r="J13" s="310"/>
      <c r="K13" s="10"/>
      <c r="L13" s="37" t="s">
        <v>18</v>
      </c>
      <c r="M13" s="10"/>
      <c r="N13" s="36"/>
      <c r="O13" s="311"/>
      <c r="P13" s="311"/>
      <c r="Q13" s="312"/>
    </row>
    <row r="14" spans="2:24" ht="18" customHeight="1" x14ac:dyDescent="0.25">
      <c r="B14" s="70" t="s">
        <v>98</v>
      </c>
      <c r="C14" s="68"/>
      <c r="D14" s="33"/>
      <c r="E14" s="328"/>
      <c r="F14" s="329"/>
      <c r="G14" s="329"/>
      <c r="H14" s="329"/>
      <c r="I14" s="329"/>
      <c r="J14" s="330"/>
      <c r="K14" s="10"/>
      <c r="L14" s="37" t="s">
        <v>17</v>
      </c>
      <c r="M14" s="10"/>
      <c r="N14" s="36"/>
      <c r="O14" s="334"/>
      <c r="P14" s="334"/>
      <c r="Q14" s="335"/>
    </row>
    <row r="15" spans="2:24" ht="18" x14ac:dyDescent="0.25">
      <c r="B15" s="165"/>
      <c r="C15" s="71"/>
      <c r="D15" s="33"/>
      <c r="E15" s="328"/>
      <c r="F15" s="329"/>
      <c r="G15" s="329"/>
      <c r="H15" s="329"/>
      <c r="I15" s="329"/>
      <c r="J15" s="330"/>
      <c r="K15" s="10"/>
      <c r="L15" s="102" t="s">
        <v>59</v>
      </c>
      <c r="M15" s="104"/>
      <c r="N15" s="104"/>
      <c r="O15" s="104"/>
      <c r="P15" s="104"/>
      <c r="Q15" s="105"/>
    </row>
    <row r="16" spans="2:24" ht="18" customHeight="1" x14ac:dyDescent="0.25">
      <c r="B16" s="63" t="s">
        <v>57</v>
      </c>
      <c r="C16" s="73"/>
      <c r="D16" s="33"/>
      <c r="E16" s="328"/>
      <c r="F16" s="329"/>
      <c r="G16" s="329"/>
      <c r="H16" s="329"/>
      <c r="I16" s="329"/>
      <c r="J16" s="330"/>
      <c r="K16" s="10"/>
      <c r="L16" s="37" t="s">
        <v>61</v>
      </c>
      <c r="M16" s="10"/>
      <c r="N16" s="36"/>
      <c r="O16" s="317" t="s">
        <v>103</v>
      </c>
      <c r="P16" s="317"/>
      <c r="Q16" s="318"/>
    </row>
    <row r="17" spans="2:20" ht="18" x14ac:dyDescent="0.25">
      <c r="B17" s="70" t="s">
        <v>23</v>
      </c>
      <c r="C17" s="73"/>
      <c r="D17" s="33"/>
      <c r="E17" s="328"/>
      <c r="F17" s="329"/>
      <c r="G17" s="329"/>
      <c r="H17" s="329"/>
      <c r="I17" s="329"/>
      <c r="J17" s="330"/>
      <c r="K17" s="10"/>
      <c r="L17" s="37" t="s">
        <v>78</v>
      </c>
      <c r="M17" s="10"/>
      <c r="N17" s="36"/>
      <c r="O17" s="311" t="s">
        <v>72</v>
      </c>
      <c r="P17" s="311"/>
      <c r="Q17" s="312"/>
    </row>
    <row r="18" spans="2:20" ht="18.75" customHeight="1" thickBot="1" x14ac:dyDescent="0.3">
      <c r="B18" s="74" t="s">
        <v>86</v>
      </c>
      <c r="C18" s="268"/>
      <c r="D18" s="33"/>
      <c r="E18" s="331"/>
      <c r="F18" s="332"/>
      <c r="G18" s="332"/>
      <c r="H18" s="332"/>
      <c r="I18" s="332"/>
      <c r="J18" s="333"/>
      <c r="K18" s="10"/>
      <c r="L18" s="41" t="s">
        <v>25</v>
      </c>
      <c r="M18" s="2"/>
      <c r="N18" s="269"/>
      <c r="O18" s="336" t="s">
        <v>104</v>
      </c>
      <c r="P18" s="336"/>
      <c r="Q18" s="337"/>
    </row>
    <row r="19" spans="2:20" ht="18.75" thickBot="1" x14ac:dyDescent="0.3">
      <c r="B19" s="1"/>
      <c r="C19" s="1"/>
      <c r="D19" s="1"/>
      <c r="E19" s="1"/>
      <c r="L19" s="36"/>
      <c r="M19" s="10"/>
      <c r="N19" s="36"/>
      <c r="O19" s="10"/>
      <c r="P19" s="10"/>
      <c r="Q19" s="10"/>
    </row>
    <row r="20" spans="2:20" ht="30" customHeight="1" x14ac:dyDescent="0.2">
      <c r="B20" s="338" t="s">
        <v>33</v>
      </c>
      <c r="C20" s="340" t="s">
        <v>31</v>
      </c>
      <c r="D20" s="340" t="s">
        <v>30</v>
      </c>
      <c r="E20" s="340" t="s">
        <v>131</v>
      </c>
      <c r="F20" s="340" t="s">
        <v>69</v>
      </c>
      <c r="G20" s="134" t="s">
        <v>12</v>
      </c>
      <c r="H20" s="135"/>
      <c r="I20" s="136"/>
      <c r="J20" s="134" t="s">
        <v>8</v>
      </c>
      <c r="K20" s="137"/>
      <c r="L20" s="135"/>
      <c r="M20" s="136"/>
      <c r="N20" s="134" t="s">
        <v>32</v>
      </c>
      <c r="O20" s="135"/>
      <c r="P20" s="135"/>
      <c r="Q20" s="128"/>
    </row>
    <row r="21" spans="2:20" ht="25.5" x14ac:dyDescent="0.2">
      <c r="B21" s="339"/>
      <c r="C21" s="341"/>
      <c r="D21" s="341"/>
      <c r="E21" s="341"/>
      <c r="F21" s="341"/>
      <c r="G21" s="216" t="s">
        <v>0</v>
      </c>
      <c r="H21" s="215" t="s">
        <v>5</v>
      </c>
      <c r="I21" s="129"/>
      <c r="J21" s="216" t="s">
        <v>0</v>
      </c>
      <c r="K21" s="215"/>
      <c r="L21" s="217" t="s">
        <v>5</v>
      </c>
      <c r="M21" s="129"/>
      <c r="N21" s="216" t="s">
        <v>0</v>
      </c>
      <c r="O21" s="215" t="s">
        <v>5</v>
      </c>
      <c r="P21" s="130"/>
      <c r="Q21" s="131" t="s">
        <v>3</v>
      </c>
      <c r="R21" s="325" t="s">
        <v>108</v>
      </c>
      <c r="S21" s="326"/>
      <c r="T21" s="326"/>
    </row>
    <row r="22" spans="2:20" ht="21" customHeight="1" x14ac:dyDescent="0.25">
      <c r="B22" s="17" t="s">
        <v>110</v>
      </c>
      <c r="C22" s="20"/>
      <c r="D22" s="20"/>
      <c r="E22" s="82"/>
      <c r="F22" s="86"/>
      <c r="G22" s="132" t="s">
        <v>2</v>
      </c>
      <c r="H22" s="132" t="s">
        <v>105</v>
      </c>
      <c r="I22" s="133" t="s">
        <v>4</v>
      </c>
      <c r="J22" s="132" t="s">
        <v>2</v>
      </c>
      <c r="K22" s="132"/>
      <c r="L22" s="132" t="s">
        <v>105</v>
      </c>
      <c r="M22" s="133" t="s">
        <v>6</v>
      </c>
      <c r="N22" s="132" t="s">
        <v>2</v>
      </c>
      <c r="O22" s="132" t="s">
        <v>105</v>
      </c>
      <c r="P22" s="132" t="s">
        <v>6</v>
      </c>
      <c r="Q22" s="131" t="s">
        <v>1</v>
      </c>
      <c r="R22" s="325"/>
      <c r="S22" s="326"/>
      <c r="T22" s="326"/>
    </row>
    <row r="23" spans="2:20" ht="15" customHeight="1" x14ac:dyDescent="0.2">
      <c r="B23" s="246" t="s">
        <v>112</v>
      </c>
      <c r="C23" s="248">
        <v>42384</v>
      </c>
      <c r="D23" s="248">
        <v>42415</v>
      </c>
      <c r="E23" s="250">
        <f>100/160</f>
        <v>0.625</v>
      </c>
      <c r="F23" s="251" t="s">
        <v>113</v>
      </c>
      <c r="G23" s="25"/>
      <c r="H23" s="270"/>
      <c r="I23" s="223">
        <f>H23*G23</f>
        <v>0</v>
      </c>
      <c r="J23" s="256">
        <v>100</v>
      </c>
      <c r="K23" s="27"/>
      <c r="L23" s="270">
        <v>42</v>
      </c>
      <c r="M23" s="223">
        <f t="shared" ref="M23:M37" si="0">L23*J23</f>
        <v>4200</v>
      </c>
      <c r="N23" s="25"/>
      <c r="O23" s="270"/>
      <c r="P23" s="223">
        <f>O23*N23</f>
        <v>0</v>
      </c>
      <c r="Q23" s="169">
        <f t="shared" ref="Q23:Q37" si="1">SUM(I23,M23,P23)</f>
        <v>4200</v>
      </c>
    </row>
    <row r="24" spans="2:20" ht="15" customHeight="1" x14ac:dyDescent="0.2">
      <c r="B24" s="247" t="s">
        <v>114</v>
      </c>
      <c r="C24" s="249">
        <v>42416</v>
      </c>
      <c r="D24" s="249">
        <v>42446</v>
      </c>
      <c r="E24" s="252">
        <f>200/160</f>
        <v>1.25</v>
      </c>
      <c r="F24" s="253" t="s">
        <v>113</v>
      </c>
      <c r="G24" s="255">
        <v>200</v>
      </c>
      <c r="H24" s="271">
        <v>42</v>
      </c>
      <c r="I24" s="224">
        <f>H24*G24</f>
        <v>8400</v>
      </c>
      <c r="J24" s="206"/>
      <c r="K24" s="206"/>
      <c r="L24" s="271"/>
      <c r="M24" s="224">
        <f t="shared" si="0"/>
        <v>0</v>
      </c>
      <c r="N24" s="206"/>
      <c r="O24" s="271"/>
      <c r="P24" s="224">
        <f>O24*N24</f>
        <v>0</v>
      </c>
      <c r="Q24" s="170">
        <f t="shared" si="1"/>
        <v>8400</v>
      </c>
    </row>
    <row r="25" spans="2:20" ht="15" customHeight="1" x14ac:dyDescent="0.2">
      <c r="B25" s="247" t="s">
        <v>115</v>
      </c>
      <c r="C25" s="249">
        <v>42478</v>
      </c>
      <c r="D25" s="249">
        <v>42492</v>
      </c>
      <c r="E25" s="254">
        <f>60/80</f>
        <v>0.75</v>
      </c>
      <c r="F25" s="253" t="s">
        <v>113</v>
      </c>
      <c r="G25" s="255">
        <f>0.5*0.75*160</f>
        <v>60</v>
      </c>
      <c r="H25" s="271">
        <v>37</v>
      </c>
      <c r="I25" s="224">
        <f t="shared" ref="I25:I37" si="2">H25*G25</f>
        <v>2220</v>
      </c>
      <c r="J25" s="206"/>
      <c r="K25" s="206"/>
      <c r="L25" s="271"/>
      <c r="M25" s="224">
        <f t="shared" si="0"/>
        <v>0</v>
      </c>
      <c r="N25" s="206"/>
      <c r="O25" s="271"/>
      <c r="P25" s="224">
        <f t="shared" ref="P25:P37" si="3">O25*N25</f>
        <v>0</v>
      </c>
      <c r="Q25" s="170">
        <f t="shared" si="1"/>
        <v>2220</v>
      </c>
    </row>
    <row r="26" spans="2:20" ht="15" customHeight="1" x14ac:dyDescent="0.2">
      <c r="B26" s="247" t="s">
        <v>116</v>
      </c>
      <c r="C26" s="249">
        <v>42493</v>
      </c>
      <c r="D26" s="249">
        <v>42525</v>
      </c>
      <c r="E26" s="254">
        <f>80/160</f>
        <v>0.5</v>
      </c>
      <c r="F26" s="253" t="s">
        <v>113</v>
      </c>
      <c r="G26" s="206"/>
      <c r="H26" s="271"/>
      <c r="I26" s="224">
        <f t="shared" si="2"/>
        <v>0</v>
      </c>
      <c r="J26" s="255">
        <v>80</v>
      </c>
      <c r="K26" s="206"/>
      <c r="L26" s="271">
        <v>45</v>
      </c>
      <c r="M26" s="224">
        <f t="shared" si="0"/>
        <v>3600</v>
      </c>
      <c r="N26" s="206"/>
      <c r="O26" s="271"/>
      <c r="P26" s="224">
        <f t="shared" si="3"/>
        <v>0</v>
      </c>
      <c r="Q26" s="170">
        <f t="shared" si="1"/>
        <v>3600</v>
      </c>
    </row>
    <row r="27" spans="2:20" ht="15" customHeight="1" x14ac:dyDescent="0.2">
      <c r="B27" s="247" t="s">
        <v>128</v>
      </c>
      <c r="C27" s="249"/>
      <c r="D27" s="249"/>
      <c r="E27" s="254"/>
      <c r="F27" s="253"/>
      <c r="G27" s="272"/>
      <c r="H27" s="271"/>
      <c r="I27" s="224">
        <f>H27*G27</f>
        <v>0</v>
      </c>
      <c r="J27" s="206"/>
      <c r="K27" s="206"/>
      <c r="L27" s="271"/>
      <c r="M27" s="224">
        <f>L27*J27</f>
        <v>0</v>
      </c>
      <c r="N27" s="206"/>
      <c r="O27" s="271"/>
      <c r="P27" s="224">
        <f>O27*N27</f>
        <v>0</v>
      </c>
      <c r="Q27" s="170">
        <f>SUM(I27,M27,P27)</f>
        <v>0</v>
      </c>
    </row>
    <row r="28" spans="2:20" ht="15" customHeight="1" x14ac:dyDescent="0.2">
      <c r="B28" s="247" t="s">
        <v>129</v>
      </c>
      <c r="C28" s="249"/>
      <c r="D28" s="249"/>
      <c r="E28" s="254"/>
      <c r="F28" s="253"/>
      <c r="G28" s="206"/>
      <c r="H28" s="271"/>
      <c r="I28" s="224">
        <f>H28*G28</f>
        <v>0</v>
      </c>
      <c r="J28" s="206"/>
      <c r="K28" s="206"/>
      <c r="L28" s="271"/>
      <c r="M28" s="224">
        <f>L28*J28</f>
        <v>0</v>
      </c>
      <c r="N28" s="206"/>
      <c r="O28" s="271"/>
      <c r="P28" s="224">
        <f>O28*N28</f>
        <v>0</v>
      </c>
      <c r="Q28" s="170">
        <f>SUM(I28,M28,P28)</f>
        <v>0</v>
      </c>
    </row>
    <row r="29" spans="2:20" ht="15" customHeight="1" x14ac:dyDescent="0.2">
      <c r="B29" s="247" t="s">
        <v>130</v>
      </c>
      <c r="C29" s="249"/>
      <c r="D29" s="249"/>
      <c r="E29" s="254"/>
      <c r="F29" s="253"/>
      <c r="G29" s="206"/>
      <c r="H29" s="271"/>
      <c r="I29" s="224">
        <f>H29*G29</f>
        <v>0</v>
      </c>
      <c r="J29" s="206"/>
      <c r="K29" s="206"/>
      <c r="L29" s="271"/>
      <c r="M29" s="224">
        <f>L29*J29</f>
        <v>0</v>
      </c>
      <c r="N29" s="206"/>
      <c r="O29" s="271"/>
      <c r="P29" s="224">
        <f>O29*N29</f>
        <v>0</v>
      </c>
      <c r="Q29" s="170">
        <f>SUM(I29,M29,P29)</f>
        <v>0</v>
      </c>
    </row>
    <row r="30" spans="2:20" ht="15" customHeight="1" x14ac:dyDescent="0.2">
      <c r="B30" s="247"/>
      <c r="C30" s="249"/>
      <c r="D30" s="249"/>
      <c r="E30" s="254"/>
      <c r="F30" s="253"/>
      <c r="G30" s="206"/>
      <c r="H30" s="271"/>
      <c r="I30" s="224">
        <f>H30*G30</f>
        <v>0</v>
      </c>
      <c r="J30" s="206"/>
      <c r="K30" s="206"/>
      <c r="L30" s="271"/>
      <c r="M30" s="224">
        <f>L30*J30</f>
        <v>0</v>
      </c>
      <c r="N30" s="206"/>
      <c r="O30" s="271"/>
      <c r="P30" s="224">
        <f>O30*N30</f>
        <v>0</v>
      </c>
      <c r="Q30" s="170">
        <f>SUM(I30,M30,P30)</f>
        <v>0</v>
      </c>
    </row>
    <row r="31" spans="2:20" ht="15" customHeight="1" x14ac:dyDescent="0.2">
      <c r="B31" s="247"/>
      <c r="C31" s="249"/>
      <c r="D31" s="249"/>
      <c r="E31" s="254"/>
      <c r="F31" s="253"/>
      <c r="G31" s="206"/>
      <c r="H31" s="271"/>
      <c r="I31" s="224">
        <f>H31*G31</f>
        <v>0</v>
      </c>
      <c r="J31" s="206"/>
      <c r="K31" s="206"/>
      <c r="L31" s="271"/>
      <c r="M31" s="224">
        <f>L31*J31</f>
        <v>0</v>
      </c>
      <c r="N31" s="206"/>
      <c r="O31" s="271"/>
      <c r="P31" s="224">
        <f>O31*N31</f>
        <v>0</v>
      </c>
      <c r="Q31" s="170">
        <f>SUM(I31,M31,P31)</f>
        <v>0</v>
      </c>
    </row>
    <row r="32" spans="2:20" ht="15" customHeight="1" x14ac:dyDescent="0.2">
      <c r="B32" s="247"/>
      <c r="C32" s="249"/>
      <c r="D32" s="249"/>
      <c r="E32" s="254"/>
      <c r="F32" s="253"/>
      <c r="G32" s="206"/>
      <c r="H32" s="271"/>
      <c r="I32" s="224">
        <f t="shared" si="2"/>
        <v>0</v>
      </c>
      <c r="J32" s="206"/>
      <c r="K32" s="206"/>
      <c r="L32" s="271"/>
      <c r="M32" s="224">
        <f t="shared" si="0"/>
        <v>0</v>
      </c>
      <c r="N32" s="206"/>
      <c r="O32" s="271"/>
      <c r="P32" s="224">
        <f t="shared" si="3"/>
        <v>0</v>
      </c>
      <c r="Q32" s="170">
        <f t="shared" si="1"/>
        <v>0</v>
      </c>
    </row>
    <row r="33" spans="2:19" ht="15" customHeight="1" x14ac:dyDescent="0.2">
      <c r="B33" s="247"/>
      <c r="C33" s="249"/>
      <c r="D33" s="249"/>
      <c r="E33" s="254"/>
      <c r="F33" s="253"/>
      <c r="G33" s="206"/>
      <c r="H33" s="271"/>
      <c r="I33" s="224">
        <f t="shared" si="2"/>
        <v>0</v>
      </c>
      <c r="J33" s="206"/>
      <c r="K33" s="206"/>
      <c r="L33" s="271"/>
      <c r="M33" s="224">
        <f t="shared" si="0"/>
        <v>0</v>
      </c>
      <c r="N33" s="206"/>
      <c r="O33" s="271"/>
      <c r="P33" s="224">
        <f t="shared" si="3"/>
        <v>0</v>
      </c>
      <c r="Q33" s="170">
        <f t="shared" si="1"/>
        <v>0</v>
      </c>
    </row>
    <row r="34" spans="2:19" ht="15" customHeight="1" x14ac:dyDescent="0.2">
      <c r="B34" s="247"/>
      <c r="C34" s="249"/>
      <c r="D34" s="249"/>
      <c r="E34" s="254"/>
      <c r="F34" s="253"/>
      <c r="G34" s="206"/>
      <c r="H34" s="271"/>
      <c r="I34" s="224">
        <f t="shared" si="2"/>
        <v>0</v>
      </c>
      <c r="J34" s="206"/>
      <c r="K34" s="206"/>
      <c r="L34" s="271"/>
      <c r="M34" s="224">
        <f t="shared" si="0"/>
        <v>0</v>
      </c>
      <c r="N34" s="206"/>
      <c r="O34" s="271"/>
      <c r="P34" s="224">
        <f t="shared" si="3"/>
        <v>0</v>
      </c>
      <c r="Q34" s="170">
        <f t="shared" si="1"/>
        <v>0</v>
      </c>
    </row>
    <row r="35" spans="2:19" ht="15" customHeight="1" x14ac:dyDescent="0.2">
      <c r="B35" s="247"/>
      <c r="C35" s="249"/>
      <c r="D35" s="249"/>
      <c r="E35" s="254"/>
      <c r="F35" s="253"/>
      <c r="G35" s="206"/>
      <c r="H35" s="271"/>
      <c r="I35" s="224">
        <f t="shared" si="2"/>
        <v>0</v>
      </c>
      <c r="J35" s="206"/>
      <c r="K35" s="206"/>
      <c r="L35" s="271"/>
      <c r="M35" s="224">
        <f t="shared" si="0"/>
        <v>0</v>
      </c>
      <c r="N35" s="206"/>
      <c r="O35" s="271"/>
      <c r="P35" s="224">
        <f t="shared" si="3"/>
        <v>0</v>
      </c>
      <c r="Q35" s="170">
        <f t="shared" si="1"/>
        <v>0</v>
      </c>
    </row>
    <row r="36" spans="2:19" ht="15" customHeight="1" x14ac:dyDescent="0.2">
      <c r="B36" s="247"/>
      <c r="C36" s="249"/>
      <c r="D36" s="249"/>
      <c r="E36" s="254"/>
      <c r="F36" s="253"/>
      <c r="G36" s="206"/>
      <c r="H36" s="271"/>
      <c r="I36" s="224">
        <f t="shared" si="2"/>
        <v>0</v>
      </c>
      <c r="J36" s="206"/>
      <c r="K36" s="206"/>
      <c r="L36" s="271"/>
      <c r="M36" s="224">
        <f t="shared" si="0"/>
        <v>0</v>
      </c>
      <c r="N36" s="206"/>
      <c r="O36" s="271"/>
      <c r="P36" s="224">
        <f t="shared" si="3"/>
        <v>0</v>
      </c>
      <c r="Q36" s="170">
        <f t="shared" si="1"/>
        <v>0</v>
      </c>
    </row>
    <row r="37" spans="2:19" ht="15" customHeight="1" x14ac:dyDescent="0.2">
      <c r="B37" s="247"/>
      <c r="C37" s="249"/>
      <c r="D37" s="249"/>
      <c r="E37" s="254"/>
      <c r="F37" s="253"/>
      <c r="G37" s="206"/>
      <c r="H37" s="271"/>
      <c r="I37" s="224">
        <f t="shared" si="2"/>
        <v>0</v>
      </c>
      <c r="J37" s="206"/>
      <c r="K37" s="206"/>
      <c r="L37" s="271"/>
      <c r="M37" s="224">
        <f t="shared" si="0"/>
        <v>0</v>
      </c>
      <c r="N37" s="206"/>
      <c r="O37" s="271"/>
      <c r="P37" s="224">
        <f t="shared" si="3"/>
        <v>0</v>
      </c>
      <c r="Q37" s="170">
        <f t="shared" si="1"/>
        <v>0</v>
      </c>
    </row>
    <row r="38" spans="2:19" ht="15" customHeight="1" thickBot="1" x14ac:dyDescent="0.25">
      <c r="B38" s="12" t="s">
        <v>3</v>
      </c>
      <c r="C38" s="211"/>
      <c r="D38" s="211"/>
      <c r="E38" s="85"/>
      <c r="F38" s="89"/>
      <c r="G38" s="273">
        <f>SUM(G23:G37)</f>
        <v>260</v>
      </c>
      <c r="H38" s="168"/>
      <c r="I38" s="274">
        <f>SUM(I23:I37)</f>
        <v>10620</v>
      </c>
      <c r="J38" s="273">
        <f>SUM(J23:J37)</f>
        <v>180</v>
      </c>
      <c r="K38" s="273"/>
      <c r="L38" s="168"/>
      <c r="M38" s="274">
        <f>SUM(M23:M37)</f>
        <v>7800</v>
      </c>
      <c r="N38" s="273">
        <f>SUM(N23:N37)</f>
        <v>0</v>
      </c>
      <c r="O38" s="168"/>
      <c r="P38" s="274">
        <f>SUM(P23:P37)</f>
        <v>0</v>
      </c>
      <c r="Q38" s="275">
        <f>SUM(Q23:Q37)</f>
        <v>18420</v>
      </c>
    </row>
    <row r="39" spans="2:19" ht="56.25" customHeight="1" thickBot="1" x14ac:dyDescent="0.25">
      <c r="B39" s="13"/>
      <c r="C39" s="18"/>
      <c r="D39" s="18"/>
      <c r="E39" s="18"/>
      <c r="F39" s="276"/>
      <c r="G39" s="5"/>
      <c r="H39" s="277"/>
      <c r="I39" s="276"/>
      <c r="J39" s="5"/>
      <c r="K39" s="5"/>
      <c r="L39" s="277"/>
      <c r="M39" s="276"/>
      <c r="N39" s="278"/>
      <c r="O39" s="277"/>
      <c r="P39" s="8"/>
      <c r="Q39" s="8"/>
      <c r="R39" s="8"/>
      <c r="S39" s="279"/>
    </row>
    <row r="40" spans="2:19" ht="15" customHeight="1" x14ac:dyDescent="0.25">
      <c r="B40" s="114" t="s">
        <v>93</v>
      </c>
      <c r="C40" s="115" t="s">
        <v>65</v>
      </c>
      <c r="D40" s="115" t="s">
        <v>66</v>
      </c>
      <c r="E40" s="116"/>
      <c r="F40" s="116"/>
      <c r="G40" s="116"/>
      <c r="H40" s="117"/>
      <c r="I40" s="35"/>
      <c r="J40" s="106" t="s">
        <v>64</v>
      </c>
      <c r="K40" s="107"/>
      <c r="L40" s="107"/>
      <c r="M40" s="107"/>
      <c r="N40" s="107"/>
      <c r="O40" s="107"/>
      <c r="P40" s="107"/>
      <c r="Q40" s="108"/>
    </row>
    <row r="41" spans="2:19" ht="15" customHeight="1" x14ac:dyDescent="0.25">
      <c r="B41" s="348"/>
      <c r="C41" s="350"/>
      <c r="D41" s="350"/>
      <c r="E41" s="119" t="s">
        <v>24</v>
      </c>
      <c r="F41" s="119" t="s">
        <v>9</v>
      </c>
      <c r="G41" s="119" t="s">
        <v>1</v>
      </c>
      <c r="H41" s="120"/>
      <c r="I41" s="280"/>
      <c r="J41" s="45"/>
      <c r="K41" s="164" t="s">
        <v>73</v>
      </c>
      <c r="L41" s="125"/>
      <c r="M41" s="125"/>
      <c r="N41" s="126"/>
      <c r="O41" s="126"/>
      <c r="P41" s="126"/>
      <c r="Q41" s="46"/>
      <c r="R41" s="8"/>
      <c r="S41" s="279"/>
    </row>
    <row r="42" spans="2:19" ht="23.25" customHeight="1" x14ac:dyDescent="0.25">
      <c r="B42" s="349"/>
      <c r="C42" s="351"/>
      <c r="D42" s="351"/>
      <c r="E42" s="121" t="s">
        <v>13</v>
      </c>
      <c r="F42" s="121" t="s">
        <v>10</v>
      </c>
      <c r="G42" s="121" t="s">
        <v>11</v>
      </c>
      <c r="H42" s="122" t="s">
        <v>1</v>
      </c>
      <c r="J42" s="163" t="s">
        <v>94</v>
      </c>
      <c r="K42" s="14"/>
      <c r="L42" s="14"/>
      <c r="M42" s="127" t="s">
        <v>20</v>
      </c>
      <c r="N42" s="44"/>
      <c r="O42" s="95" t="s">
        <v>71</v>
      </c>
      <c r="P42" s="95" t="s">
        <v>106</v>
      </c>
      <c r="Q42" s="11" t="s">
        <v>1</v>
      </c>
    </row>
    <row r="43" spans="2:19" ht="15" customHeight="1" x14ac:dyDescent="0.2">
      <c r="B43" s="411" t="s">
        <v>117</v>
      </c>
      <c r="C43" s="353"/>
      <c r="D43" s="354"/>
      <c r="E43" s="281" t="s">
        <v>118</v>
      </c>
      <c r="F43" s="220">
        <v>3</v>
      </c>
      <c r="G43" s="282">
        <v>11000</v>
      </c>
      <c r="H43" s="237">
        <f t="shared" ref="H43:H53" si="4">G43*F43</f>
        <v>33000</v>
      </c>
      <c r="J43" s="355" t="s">
        <v>132</v>
      </c>
      <c r="K43" s="356"/>
      <c r="L43" s="357"/>
      <c r="M43" s="194" t="s">
        <v>119</v>
      </c>
      <c r="N43" s="175"/>
      <c r="O43" s="220">
        <v>4</v>
      </c>
      <c r="P43" s="226">
        <v>300</v>
      </c>
      <c r="Q43" s="227">
        <f t="shared" ref="Q43:Q44" si="5">P43*O43</f>
        <v>1200</v>
      </c>
    </row>
    <row r="44" spans="2:19" s="10" customFormat="1" ht="15" customHeight="1" x14ac:dyDescent="0.2">
      <c r="B44" s="410" t="s">
        <v>120</v>
      </c>
      <c r="C44" s="359"/>
      <c r="D44" s="360"/>
      <c r="E44" s="283" t="s">
        <v>118</v>
      </c>
      <c r="F44" s="221">
        <v>4</v>
      </c>
      <c r="G44" s="284">
        <v>3500</v>
      </c>
      <c r="H44" s="233">
        <f t="shared" si="4"/>
        <v>14000</v>
      </c>
      <c r="I44"/>
      <c r="J44" s="361"/>
      <c r="K44" s="412"/>
      <c r="L44" s="413"/>
      <c r="M44" s="285"/>
      <c r="N44" s="177"/>
      <c r="O44" s="173"/>
      <c r="P44" s="286"/>
      <c r="Q44" s="229">
        <f t="shared" si="5"/>
        <v>0</v>
      </c>
    </row>
    <row r="45" spans="2:19" s="10" customFormat="1" ht="15" customHeight="1" x14ac:dyDescent="0.25">
      <c r="B45" s="364" t="s">
        <v>88</v>
      </c>
      <c r="C45" s="365"/>
      <c r="D45" s="366"/>
      <c r="E45" s="138"/>
      <c r="F45" s="172"/>
      <c r="G45" s="239"/>
      <c r="H45" s="240">
        <v>47000</v>
      </c>
      <c r="I45"/>
      <c r="J45" s="163" t="s">
        <v>95</v>
      </c>
      <c r="K45" s="14"/>
      <c r="L45" s="14"/>
      <c r="M45" s="178" t="s">
        <v>20</v>
      </c>
      <c r="N45" s="179"/>
      <c r="O45" s="180" t="s">
        <v>71</v>
      </c>
      <c r="P45" s="230" t="s">
        <v>106</v>
      </c>
      <c r="Q45" s="231" t="s">
        <v>1</v>
      </c>
    </row>
    <row r="46" spans="2:19" s="10" customFormat="1" ht="15" customHeight="1" x14ac:dyDescent="0.2">
      <c r="B46" s="414"/>
      <c r="C46" s="343"/>
      <c r="D46" s="344"/>
      <c r="E46" s="287"/>
      <c r="F46" s="173"/>
      <c r="G46" s="288"/>
      <c r="H46" s="242">
        <f t="shared" si="4"/>
        <v>0</v>
      </c>
      <c r="I46"/>
      <c r="J46" s="262" t="s">
        <v>133</v>
      </c>
      <c r="K46" s="263"/>
      <c r="L46" s="264"/>
      <c r="M46" s="194" t="s">
        <v>121</v>
      </c>
      <c r="N46" s="175"/>
      <c r="O46" s="220">
        <v>4</v>
      </c>
      <c r="P46" s="226">
        <v>5</v>
      </c>
      <c r="Q46" s="227">
        <f t="shared" ref="Q46:Q48" si="6">P46*O46</f>
        <v>20</v>
      </c>
    </row>
    <row r="47" spans="2:19" s="10" customFormat="1" ht="15" customHeight="1" x14ac:dyDescent="0.2">
      <c r="B47" s="410"/>
      <c r="C47" s="359"/>
      <c r="D47" s="360"/>
      <c r="E47" s="283"/>
      <c r="F47" s="171"/>
      <c r="G47" s="284"/>
      <c r="H47" s="233">
        <f t="shared" si="4"/>
        <v>0</v>
      </c>
      <c r="I47"/>
      <c r="J47" s="265"/>
      <c r="K47" s="289"/>
      <c r="L47" s="290"/>
      <c r="M47" s="285"/>
      <c r="N47" s="177"/>
      <c r="O47" s="173"/>
      <c r="P47" s="286"/>
      <c r="Q47" s="229">
        <f t="shared" si="6"/>
        <v>0</v>
      </c>
    </row>
    <row r="48" spans="2:19" s="10" customFormat="1" ht="15" customHeight="1" x14ac:dyDescent="0.2">
      <c r="B48" s="364" t="s">
        <v>89</v>
      </c>
      <c r="C48" s="365"/>
      <c r="D48" s="366"/>
      <c r="E48" s="138"/>
      <c r="F48" s="172"/>
      <c r="G48" s="239"/>
      <c r="H48" s="240" t="s">
        <v>1</v>
      </c>
      <c r="I48"/>
      <c r="J48" s="265"/>
      <c r="K48" s="289"/>
      <c r="L48" s="290"/>
      <c r="M48" s="182"/>
      <c r="N48" s="183"/>
      <c r="O48" s="171"/>
      <c r="P48" s="291"/>
      <c r="Q48" s="227">
        <f t="shared" si="6"/>
        <v>0</v>
      </c>
    </row>
    <row r="49" spans="2:19" ht="15" customHeight="1" thickBot="1" x14ac:dyDescent="0.25">
      <c r="B49" s="342"/>
      <c r="C49" s="343"/>
      <c r="D49" s="344"/>
      <c r="E49" s="208"/>
      <c r="F49" s="173"/>
      <c r="G49" s="288"/>
      <c r="H49" s="242">
        <f t="shared" si="4"/>
        <v>0</v>
      </c>
      <c r="J49" s="209" t="s">
        <v>3</v>
      </c>
      <c r="K49" s="210"/>
      <c r="L49" s="210"/>
      <c r="M49" s="345"/>
      <c r="N49" s="346"/>
      <c r="O49" s="346"/>
      <c r="P49" s="347"/>
      <c r="Q49" s="292">
        <f>SUM(Q40:Q48)</f>
        <v>1220</v>
      </c>
    </row>
    <row r="50" spans="2:19" ht="15" customHeight="1" x14ac:dyDescent="0.2">
      <c r="B50" s="342"/>
      <c r="C50" s="343"/>
      <c r="D50" s="344"/>
      <c r="E50" s="208"/>
      <c r="F50" s="173"/>
      <c r="G50" s="288"/>
      <c r="H50" s="242">
        <f t="shared" si="4"/>
        <v>0</v>
      </c>
      <c r="J50" s="18"/>
      <c r="K50" s="18"/>
      <c r="L50" s="18"/>
      <c r="M50" s="18"/>
      <c r="N50" s="159"/>
      <c r="O50" s="159"/>
      <c r="P50" s="159"/>
      <c r="Q50" s="293"/>
    </row>
    <row r="51" spans="2:19" ht="15" customHeight="1" thickBot="1" x14ac:dyDescent="0.25">
      <c r="B51" s="342"/>
      <c r="C51" s="343"/>
      <c r="D51" s="344"/>
      <c r="E51" s="208"/>
      <c r="F51" s="173"/>
      <c r="G51" s="288"/>
      <c r="H51" s="242">
        <f t="shared" si="4"/>
        <v>0</v>
      </c>
      <c r="J51" s="368"/>
      <c r="K51" s="368"/>
      <c r="L51" s="368"/>
      <c r="M51" s="294"/>
      <c r="N51" s="153"/>
      <c r="O51" s="154"/>
      <c r="P51" s="295"/>
      <c r="Q51" s="156"/>
    </row>
    <row r="52" spans="2:19" ht="15" customHeight="1" x14ac:dyDescent="0.25">
      <c r="B52" s="410"/>
      <c r="C52" s="359"/>
      <c r="D52" s="360"/>
      <c r="E52" s="283"/>
      <c r="F52" s="171"/>
      <c r="G52" s="284"/>
      <c r="H52" s="233">
        <f t="shared" si="4"/>
        <v>0</v>
      </c>
      <c r="J52" s="212" t="s">
        <v>96</v>
      </c>
      <c r="K52" s="213"/>
      <c r="L52" s="213"/>
      <c r="M52" s="213"/>
      <c r="N52" s="213"/>
      <c r="O52" s="213"/>
      <c r="P52" s="213"/>
      <c r="Q52" s="214"/>
    </row>
    <row r="53" spans="2:19" ht="15" customHeight="1" x14ac:dyDescent="0.25">
      <c r="B53" s="364" t="s">
        <v>90</v>
      </c>
      <c r="C53" s="365"/>
      <c r="D53" s="366"/>
      <c r="E53" s="138"/>
      <c r="F53" s="172"/>
      <c r="G53" s="239"/>
      <c r="H53" s="240">
        <f t="shared" si="4"/>
        <v>0</v>
      </c>
      <c r="J53" s="45"/>
      <c r="K53" s="125" t="s">
        <v>107</v>
      </c>
      <c r="L53" s="157"/>
      <c r="M53" s="125"/>
      <c r="N53" s="126"/>
      <c r="O53" s="126"/>
      <c r="P53" s="126"/>
      <c r="Q53" s="46"/>
    </row>
    <row r="54" spans="2:19" ht="15" customHeight="1" thickBot="1" x14ac:dyDescent="0.3">
      <c r="B54" s="373" t="s">
        <v>3</v>
      </c>
      <c r="C54" s="374"/>
      <c r="D54" s="375"/>
      <c r="E54" s="123"/>
      <c r="F54" s="174"/>
      <c r="G54" s="243"/>
      <c r="H54" s="245">
        <f>SUM(H45:H53)</f>
        <v>47000</v>
      </c>
      <c r="J54" s="158"/>
      <c r="K54" s="14"/>
      <c r="L54" s="14"/>
      <c r="M54" s="127"/>
      <c r="N54" s="44"/>
      <c r="O54" s="95"/>
      <c r="P54" s="95"/>
      <c r="Q54" s="11"/>
    </row>
    <row r="55" spans="2:19" ht="15" customHeight="1" x14ac:dyDescent="0.25">
      <c r="G55" s="244"/>
      <c r="H55" s="244"/>
      <c r="J55" s="222" t="s">
        <v>94</v>
      </c>
      <c r="K55" s="185"/>
      <c r="L55" s="185"/>
      <c r="M55" s="178" t="s">
        <v>20</v>
      </c>
      <c r="N55" s="179"/>
      <c r="O55" s="180" t="s">
        <v>71</v>
      </c>
      <c r="P55" s="180" t="s">
        <v>106</v>
      </c>
      <c r="Q55" s="181" t="s">
        <v>1</v>
      </c>
    </row>
    <row r="56" spans="2:19" ht="15" customHeight="1" x14ac:dyDescent="0.25">
      <c r="B56" s="160"/>
      <c r="C56" s="161"/>
      <c r="D56" s="161"/>
      <c r="E56" s="161"/>
      <c r="F56" s="370"/>
      <c r="G56" s="370"/>
      <c r="H56" s="370"/>
      <c r="I56" s="162"/>
      <c r="J56" s="355" t="s">
        <v>132</v>
      </c>
      <c r="K56" s="356"/>
      <c r="L56" s="357"/>
      <c r="M56" s="194" t="s">
        <v>119</v>
      </c>
      <c r="N56" s="175"/>
      <c r="O56" s="220">
        <v>4</v>
      </c>
      <c r="P56" s="226">
        <v>300</v>
      </c>
      <c r="Q56" s="227">
        <f t="shared" ref="Q56" si="7">P56*O56</f>
        <v>1200</v>
      </c>
    </row>
    <row r="57" spans="2:19" ht="15" customHeight="1" x14ac:dyDescent="0.2">
      <c r="J57" s="265"/>
      <c r="K57" s="296"/>
      <c r="L57" s="297"/>
      <c r="M57" s="285"/>
      <c r="N57" s="177"/>
      <c r="O57" s="173"/>
      <c r="P57" s="286"/>
      <c r="Q57" s="229"/>
    </row>
    <row r="58" spans="2:19" ht="15" customHeight="1" x14ac:dyDescent="0.2">
      <c r="J58" s="265"/>
      <c r="K58" s="296"/>
      <c r="L58" s="297"/>
      <c r="M58" s="182"/>
      <c r="N58" s="183"/>
      <c r="O58" s="171"/>
      <c r="P58" s="291"/>
      <c r="Q58" s="233"/>
    </row>
    <row r="59" spans="2:19" ht="15" customHeight="1" x14ac:dyDescent="0.25">
      <c r="J59" s="222" t="s">
        <v>95</v>
      </c>
      <c r="K59" s="185"/>
      <c r="L59" s="185"/>
      <c r="M59" s="178" t="s">
        <v>20</v>
      </c>
      <c r="N59" s="179"/>
      <c r="O59" s="180" t="s">
        <v>71</v>
      </c>
      <c r="P59" s="230" t="s">
        <v>106</v>
      </c>
      <c r="Q59" s="231" t="s">
        <v>1</v>
      </c>
    </row>
    <row r="60" spans="2:19" ht="15" customHeight="1" x14ac:dyDescent="0.2">
      <c r="J60" s="262" t="s">
        <v>133</v>
      </c>
      <c r="K60" s="186"/>
      <c r="L60" s="187"/>
      <c r="M60" s="194" t="s">
        <v>121</v>
      </c>
      <c r="N60" s="175"/>
      <c r="O60" s="220">
        <v>4</v>
      </c>
      <c r="P60" s="226">
        <v>5</v>
      </c>
      <c r="Q60" s="227">
        <f t="shared" ref="Q60:Q62" si="8">P60*O60</f>
        <v>20</v>
      </c>
    </row>
    <row r="61" spans="2:19" ht="15" customHeight="1" x14ac:dyDescent="0.2">
      <c r="J61" s="265"/>
      <c r="K61" s="296"/>
      <c r="L61" s="297"/>
      <c r="M61" s="285"/>
      <c r="N61" s="177"/>
      <c r="O61" s="173"/>
      <c r="P61" s="286"/>
      <c r="Q61" s="229">
        <f t="shared" si="8"/>
        <v>0</v>
      </c>
    </row>
    <row r="62" spans="2:19" ht="15" customHeight="1" x14ac:dyDescent="0.2">
      <c r="J62" s="265"/>
      <c r="K62" s="296"/>
      <c r="L62" s="297"/>
      <c r="M62" s="182"/>
      <c r="N62" s="183"/>
      <c r="O62" s="171"/>
      <c r="P62" s="291"/>
      <c r="Q62" s="227">
        <f t="shared" si="8"/>
        <v>0</v>
      </c>
    </row>
    <row r="63" spans="2:19" ht="15" customHeight="1" thickBot="1" x14ac:dyDescent="0.25">
      <c r="J63" s="209" t="s">
        <v>3</v>
      </c>
      <c r="K63" s="257"/>
      <c r="L63" s="257"/>
      <c r="M63" s="257"/>
      <c r="N63" s="258"/>
      <c r="O63" s="258"/>
      <c r="P63" s="234"/>
      <c r="Q63" s="298">
        <f>SUM(Q52:Q62)</f>
        <v>1220</v>
      </c>
    </row>
    <row r="64" spans="2:19" ht="15" customHeight="1" x14ac:dyDescent="0.2">
      <c r="J64" s="18"/>
      <c r="K64" s="18"/>
      <c r="L64" s="18"/>
      <c r="M64" s="18"/>
      <c r="N64" s="159"/>
      <c r="O64" s="159"/>
      <c r="P64" s="159"/>
      <c r="Q64" s="159"/>
      <c r="R64" s="159"/>
      <c r="S64" s="159"/>
    </row>
    <row r="65" spans="2:19" ht="15" customHeight="1" thickBot="1" x14ac:dyDescent="0.25">
      <c r="J65" s="18"/>
      <c r="K65" s="18"/>
      <c r="L65" s="18"/>
      <c r="M65" s="18"/>
      <c r="N65" s="159"/>
      <c r="O65" s="159"/>
      <c r="P65" s="159"/>
      <c r="Q65" s="159"/>
      <c r="R65" s="159"/>
      <c r="S65" s="159"/>
    </row>
    <row r="66" spans="2:19" ht="15" customHeight="1" thickBot="1" x14ac:dyDescent="0.3">
      <c r="B66" s="112" t="s">
        <v>7</v>
      </c>
      <c r="C66" s="113"/>
      <c r="D66" s="113"/>
      <c r="E66" s="113"/>
      <c r="F66" s="371">
        <f>$Q$38+$Q$63+$H$54+Q63+Q49</f>
        <v>69080</v>
      </c>
      <c r="G66" s="371"/>
      <c r="H66" s="372"/>
      <c r="J66" s="18"/>
      <c r="K66" s="18"/>
      <c r="L66" s="18"/>
      <c r="M66" s="18"/>
      <c r="N66" s="159"/>
      <c r="O66" s="159"/>
      <c r="P66" s="159"/>
      <c r="Q66" s="159"/>
      <c r="R66" s="159"/>
      <c r="S66" s="159"/>
    </row>
    <row r="67" spans="2:19" ht="15" customHeight="1" x14ac:dyDescent="0.2">
      <c r="J67" s="18"/>
      <c r="K67" s="18"/>
      <c r="L67" s="18"/>
      <c r="M67" s="18"/>
      <c r="N67" s="159"/>
      <c r="O67" s="159"/>
      <c r="P67" s="159"/>
      <c r="Q67" s="159"/>
      <c r="R67" s="159"/>
      <c r="S67" s="159"/>
    </row>
    <row r="68" spans="2:19" ht="15" customHeight="1" thickBot="1" x14ac:dyDescent="0.25"/>
    <row r="69" spans="2:19" ht="15" customHeight="1" x14ac:dyDescent="0.25">
      <c r="B69" s="109" t="s">
        <v>19</v>
      </c>
      <c r="C69" s="110"/>
      <c r="D69" s="110"/>
      <c r="E69" s="111"/>
      <c r="F69" s="111"/>
      <c r="G69" s="111"/>
      <c r="H69" s="111"/>
      <c r="I69" s="111"/>
      <c r="J69" s="111"/>
      <c r="K69" s="376"/>
      <c r="L69" s="377"/>
      <c r="N69" s="378" t="s">
        <v>91</v>
      </c>
      <c r="O69" s="379"/>
      <c r="P69" s="380"/>
    </row>
    <row r="70" spans="2:19" ht="15" customHeight="1" x14ac:dyDescent="0.2">
      <c r="B70" s="387" t="s">
        <v>14</v>
      </c>
      <c r="C70" s="388"/>
      <c r="D70" s="388"/>
      <c r="E70" s="388"/>
      <c r="F70" s="388"/>
      <c r="G70" s="388"/>
      <c r="H70" s="389"/>
      <c r="I70" s="118" t="s">
        <v>15</v>
      </c>
      <c r="J70" s="124" t="s">
        <v>29</v>
      </c>
      <c r="K70" s="390" t="s">
        <v>28</v>
      </c>
      <c r="L70" s="391"/>
      <c r="N70" s="381"/>
      <c r="O70" s="382"/>
      <c r="P70" s="383"/>
    </row>
    <row r="71" spans="2:19" ht="15" customHeight="1" x14ac:dyDescent="0.2">
      <c r="B71" s="392" t="s">
        <v>122</v>
      </c>
      <c r="C71" s="393"/>
      <c r="D71" s="393"/>
      <c r="E71" s="393"/>
      <c r="F71" s="393"/>
      <c r="G71" s="393"/>
      <c r="H71" s="394"/>
      <c r="I71" s="299" t="s">
        <v>123</v>
      </c>
      <c r="J71" s="47"/>
      <c r="K71" s="395">
        <v>17</v>
      </c>
      <c r="L71" s="396"/>
      <c r="N71" s="381"/>
      <c r="O71" s="382"/>
      <c r="P71" s="383"/>
    </row>
    <row r="72" spans="2:19" ht="15" customHeight="1" x14ac:dyDescent="0.2">
      <c r="B72" s="192" t="s">
        <v>124</v>
      </c>
      <c r="C72" s="260"/>
      <c r="D72" s="260"/>
      <c r="E72" s="260"/>
      <c r="F72" s="260"/>
      <c r="G72" s="260"/>
      <c r="H72" s="261"/>
      <c r="I72" s="193" t="s">
        <v>125</v>
      </c>
      <c r="J72" s="48"/>
      <c r="K72" s="397">
        <v>12</v>
      </c>
      <c r="L72" s="398"/>
      <c r="N72" s="381"/>
      <c r="O72" s="382"/>
      <c r="P72" s="383"/>
    </row>
    <row r="73" spans="2:19" ht="15" customHeight="1" x14ac:dyDescent="0.2">
      <c r="B73" s="192" t="s">
        <v>126</v>
      </c>
      <c r="C73" s="260"/>
      <c r="D73" s="260"/>
      <c r="E73" s="260"/>
      <c r="F73" s="260"/>
      <c r="G73" s="260"/>
      <c r="H73" s="261"/>
      <c r="I73" s="193" t="s">
        <v>127</v>
      </c>
      <c r="J73" s="48"/>
      <c r="K73" s="397">
        <v>10</v>
      </c>
      <c r="L73" s="398"/>
      <c r="N73" s="381"/>
      <c r="O73" s="382"/>
      <c r="P73" s="383"/>
    </row>
    <row r="74" spans="2:19" ht="15" customHeight="1" x14ac:dyDescent="0.2">
      <c r="B74" s="192"/>
      <c r="C74" s="260"/>
      <c r="D74" s="260"/>
      <c r="E74" s="260"/>
      <c r="F74" s="260"/>
      <c r="G74" s="260"/>
      <c r="H74" s="261"/>
      <c r="I74" s="193"/>
      <c r="J74" s="48"/>
      <c r="K74" s="397"/>
      <c r="L74" s="398"/>
      <c r="N74" s="381"/>
      <c r="O74" s="382"/>
      <c r="P74" s="383"/>
    </row>
    <row r="75" spans="2:19" ht="15" customHeight="1" x14ac:dyDescent="0.2">
      <c r="B75" s="404"/>
      <c r="C75" s="405"/>
      <c r="D75" s="405"/>
      <c r="E75" s="405"/>
      <c r="F75" s="405"/>
      <c r="G75" s="405"/>
      <c r="H75" s="406"/>
      <c r="I75" s="48"/>
      <c r="J75" s="48"/>
      <c r="K75" s="397"/>
      <c r="L75" s="398"/>
      <c r="N75" s="381"/>
      <c r="O75" s="382"/>
      <c r="P75" s="383"/>
    </row>
    <row r="76" spans="2:19" ht="15" customHeight="1" x14ac:dyDescent="0.2">
      <c r="B76" s="404"/>
      <c r="C76" s="405"/>
      <c r="D76" s="405"/>
      <c r="E76" s="405"/>
      <c r="F76" s="405"/>
      <c r="G76" s="405"/>
      <c r="H76" s="406"/>
      <c r="I76" s="48"/>
      <c r="J76" s="48"/>
      <c r="K76" s="397"/>
      <c r="L76" s="398"/>
      <c r="N76" s="381"/>
      <c r="O76" s="382"/>
      <c r="P76" s="383"/>
    </row>
    <row r="77" spans="2:19" ht="15" customHeight="1" x14ac:dyDescent="0.2">
      <c r="B77" s="259"/>
      <c r="C77" s="260"/>
      <c r="D77" s="260"/>
      <c r="E77" s="260"/>
      <c r="F77" s="260"/>
      <c r="G77" s="260"/>
      <c r="H77" s="261"/>
      <c r="I77" s="48"/>
      <c r="J77" s="48"/>
      <c r="K77" s="397"/>
      <c r="L77" s="398"/>
      <c r="N77" s="384"/>
      <c r="O77" s="385"/>
      <c r="P77" s="386"/>
    </row>
    <row r="78" spans="2:19" ht="15" customHeight="1" x14ac:dyDescent="0.2">
      <c r="B78" s="259"/>
      <c r="C78" s="260"/>
      <c r="D78" s="260"/>
      <c r="E78" s="260"/>
      <c r="F78" s="260"/>
      <c r="G78" s="260"/>
      <c r="H78" s="261"/>
      <c r="I78" s="48"/>
      <c r="J78" s="48"/>
      <c r="K78" s="397"/>
      <c r="L78" s="398"/>
    </row>
    <row r="79" spans="2:19" ht="15" customHeight="1" thickBot="1" x14ac:dyDescent="0.25">
      <c r="B79" s="399"/>
      <c r="C79" s="400"/>
      <c r="D79" s="400"/>
      <c r="E79" s="400"/>
      <c r="F79" s="400"/>
      <c r="G79" s="400"/>
      <c r="H79" s="401"/>
      <c r="I79" s="76"/>
      <c r="J79" s="76"/>
      <c r="K79" s="402"/>
      <c r="L79" s="403"/>
    </row>
    <row r="80" spans="2:19" ht="15" customHeight="1" x14ac:dyDescent="0.2"/>
  </sheetData>
  <mergeCells count="70">
    <mergeCell ref="E6:J6"/>
    <mergeCell ref="O6:Q6"/>
    <mergeCell ref="B2:C3"/>
    <mergeCell ref="E4:J4"/>
    <mergeCell ref="O4:Q4"/>
    <mergeCell ref="E5:J5"/>
    <mergeCell ref="O5:Q5"/>
    <mergeCell ref="E7:J7"/>
    <mergeCell ref="O7:Q7"/>
    <mergeCell ref="E8:J8"/>
    <mergeCell ref="O8:Q8"/>
    <mergeCell ref="E9:J9"/>
    <mergeCell ref="O9:Q9"/>
    <mergeCell ref="E10:J10"/>
    <mergeCell ref="O10:Q10"/>
    <mergeCell ref="E11:J11"/>
    <mergeCell ref="O11:Q11"/>
    <mergeCell ref="E12:J12"/>
    <mergeCell ref="O12:Q12"/>
    <mergeCell ref="R21:T22"/>
    <mergeCell ref="E13:J18"/>
    <mergeCell ref="O13:Q13"/>
    <mergeCell ref="O14:Q14"/>
    <mergeCell ref="O16:Q16"/>
    <mergeCell ref="O17:Q17"/>
    <mergeCell ref="O18:Q18"/>
    <mergeCell ref="B20:B21"/>
    <mergeCell ref="C20:C21"/>
    <mergeCell ref="D20:D21"/>
    <mergeCell ref="E20:E21"/>
    <mergeCell ref="F20:F21"/>
    <mergeCell ref="B50:D50"/>
    <mergeCell ref="B51:D51"/>
    <mergeCell ref="M49:P49"/>
    <mergeCell ref="B41:B42"/>
    <mergeCell ref="C41:C42"/>
    <mergeCell ref="D41:D42"/>
    <mergeCell ref="B43:D43"/>
    <mergeCell ref="J43:L43"/>
    <mergeCell ref="B44:D44"/>
    <mergeCell ref="J44:L44"/>
    <mergeCell ref="B45:D45"/>
    <mergeCell ref="B46:D46"/>
    <mergeCell ref="B47:D47"/>
    <mergeCell ref="B48:D48"/>
    <mergeCell ref="B49:D49"/>
    <mergeCell ref="J51:L51"/>
    <mergeCell ref="B52:D52"/>
    <mergeCell ref="B53:D53"/>
    <mergeCell ref="N69:P77"/>
    <mergeCell ref="B70:H70"/>
    <mergeCell ref="K70:L70"/>
    <mergeCell ref="B71:H71"/>
    <mergeCell ref="K71:L71"/>
    <mergeCell ref="K72:L72"/>
    <mergeCell ref="K73:L73"/>
    <mergeCell ref="B54:D54"/>
    <mergeCell ref="K78:L78"/>
    <mergeCell ref="B79:H79"/>
    <mergeCell ref="K79:L79"/>
    <mergeCell ref="J56:L56"/>
    <mergeCell ref="K74:L74"/>
    <mergeCell ref="B75:H75"/>
    <mergeCell ref="K75:L75"/>
    <mergeCell ref="B76:H76"/>
    <mergeCell ref="K76:L76"/>
    <mergeCell ref="K77:L77"/>
    <mergeCell ref="F56:H56"/>
    <mergeCell ref="F66:H66"/>
    <mergeCell ref="K69:L69"/>
  </mergeCells>
  <printOptions horizontalCentered="1" verticalCentered="1"/>
  <pageMargins left="0.3" right="0.3" top="0.3" bottom="0.3" header="0.3" footer="0.3"/>
  <pageSetup scale="46" orientation="landscape" cellComments="atEnd"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CE8E1B1407074C849CBFA419921253" ma:contentTypeVersion="0" ma:contentTypeDescription="Create a new document." ma:contentTypeScope="" ma:versionID="58cac123ecdecc4b982b4c3fa058b00e">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i="http://www.w3.org/2001/XMLSchema-instance" xmlns:xsd="http://www.w3.org/2001/XMLSchema" xmlns="http://www.boldonjames.com/2008/01/sie/internal/label" sislVersion="0" policy="18fbfd49-c8e6-4618-a77f-5ef25245836c">
  <element uid="1239ecc3-00e0-482b-a8a4-82e46943bfcc" value=""/>
</sisl>
</file>

<file path=customXml/itemProps1.xml><?xml version="1.0" encoding="utf-8"?>
<ds:datastoreItem xmlns:ds="http://schemas.openxmlformats.org/officeDocument/2006/customXml" ds:itemID="{86C2EB1F-9228-4313-8829-ACC5567FBE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51FDFC2-64A7-4739-867A-BF11F8E275AB}">
  <ds:schemaRefs>
    <ds:schemaRef ds:uri="http://purl.org/dc/dcmitype/"/>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purl.org/dc/term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B2EDC0B-2746-487F-AED7-6C1F9312F239}">
  <ds:schemaRefs>
    <ds:schemaRef ds:uri="http://schemas.microsoft.com/sharepoint/v3/contenttype/forms"/>
  </ds:schemaRefs>
</ds:datastoreItem>
</file>

<file path=customXml/itemProps4.xml><?xml version="1.0" encoding="utf-8"?>
<ds:datastoreItem xmlns:ds="http://schemas.openxmlformats.org/officeDocument/2006/customXml" ds:itemID="{A5B5891E-A39C-486C-8CCB-8B0A098677BD}">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4</vt:i4>
      </vt:variant>
      <vt:variant>
        <vt:lpstr>Intervalli denominati</vt:lpstr>
      </vt:variant>
      <vt:variant>
        <vt:i4>1</vt:i4>
      </vt:variant>
    </vt:vector>
  </HeadingPairs>
  <TitlesOfParts>
    <vt:vector size="5" baseType="lpstr">
      <vt:lpstr>ED&amp;D PBD (Blank)</vt:lpstr>
      <vt:lpstr>Spending Curve (Blank)</vt:lpstr>
      <vt:lpstr>ED&amp;D PBD (Instructions)</vt:lpstr>
      <vt:lpstr>ED&amp;D PBD (Example)</vt:lpstr>
      <vt:lpstr>'Spending Curve (Blank)'!Area_stampa</vt:lpstr>
    </vt:vector>
  </TitlesOfParts>
  <Company>SAOA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fs9873</dc:creator>
  <cp:lastModifiedBy>Di Falco Giuseppe (FCA)</cp:lastModifiedBy>
  <cp:lastPrinted>2011-07-21T21:18:12Z</cp:lastPrinted>
  <dcterms:created xsi:type="dcterms:W3CDTF">2004-07-06T17:58:15Z</dcterms:created>
  <dcterms:modified xsi:type="dcterms:W3CDTF">2021-11-02T12:28:02Z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0x010100A6CE8E1B1407074C849CBFA419921253</vt:lpwstr>
  </property>
  <property fmtid="{D5CDD505-2E9C-101B-9397-08002B2CF9AE}" pid="3" name="docIndexRef">
    <vt:lpwstr>9b195d6b-416c-4c92-a9ae-33041943f3c6</vt:lpwstr>
  </property>
  <property fmtid="{D5CDD505-2E9C-101B-9397-08002B2CF9AE}" pid="4" name="bjSaver">
    <vt:lpwstr>DNLGZKOLcjLDoAMlltNj6KU8CgZ21GXr</vt:lpwstr>
  </property>
  <property fmtid="{D5CDD505-2E9C-101B-9397-08002B2CF9AE}" pid="5" name="bjDocumentSecurityLabel">
    <vt:lpwstr>Company Classification: PUBLIC</vt:lpwstr>
  </property>
  <property fmtid="{D5CDD505-2E9C-101B-9397-08002B2CF9AE}" pid="6" name="bjProjectProperty">
    <vt:lpwstr>COMPANY: PUBLIC</vt:lpwstr>
  </property>
  <property fmtid="{D5CDD505-2E9C-101B-9397-08002B2CF9AE}" pid="7" name="bjDocumentLabelXML">
    <vt:lpwstr>&lt;?xml version="1.0" encoding="us-ascii"?&gt;&lt;sisl xmlns:xsi="http://www.w3.org/2001/XMLSchema-instance" xmlns:xsd="http://www.w3.org/2001/XMLSchema" sislVersion="0" policy="18fbfd49-c8e6-4618-a77f-5ef25245836c" origin="userSelected" xmlns="http://www.boldonj</vt:lpwstr>
  </property>
  <property fmtid="{D5CDD505-2E9C-101B-9397-08002B2CF9AE}" pid="8" name="bjDocumentLabelXML-0">
    <vt:lpwstr>ames.com/2008/01/sie/internal/label"&gt;&lt;element uid="1239ecc3-00e0-482b-a8a4-82e46943bfcc" value="" /&gt;&lt;/sisl&gt;</vt:lpwstr>
  </property>
  <property fmtid="{D5CDD505-2E9C-101B-9397-08002B2CF9AE}" pid="9" name="LabelledBy:">
    <vt:lpwstr>F32986A,17/06/2020 08:59:55,PUBLIC</vt:lpwstr>
  </property>
</Properties>
</file>